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신현빈\Desktop\github\semoo\"/>
    </mc:Choice>
  </mc:AlternateContent>
  <xr:revisionPtr revIDLastSave="0" documentId="13_ncr:1_{1AD3236A-9195-4897-8363-114C7DE8456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25년3월데이터" sheetId="1" r:id="rId1"/>
    <sheet name="후처리" sheetId="2" r:id="rId2"/>
    <sheet name="동명이인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3" i="2"/>
  <c r="I4" i="2"/>
  <c r="I5" i="2"/>
  <c r="I6" i="2"/>
  <c r="I7" i="2"/>
  <c r="I8" i="2"/>
  <c r="I9" i="2"/>
  <c r="I10" i="2"/>
  <c r="I11" i="2"/>
  <c r="I12" i="2"/>
  <c r="I13" i="2"/>
  <c r="I14" i="2"/>
  <c r="I2" i="2"/>
  <c r="I1" i="2"/>
</calcChain>
</file>

<file path=xl/sharedStrings.xml><?xml version="1.0" encoding="utf-8"?>
<sst xmlns="http://schemas.openxmlformats.org/spreadsheetml/2006/main" count="3463" uniqueCount="1082">
  <si>
    <t>럭슨빈박_네이버+쿠팡</t>
  </si>
  <si>
    <t>손은혜</t>
  </si>
  <si>
    <t>경남 556220139658 손은혜</t>
  </si>
  <si>
    <t>9105112127129</t>
  </si>
  <si>
    <t>78,480</t>
  </si>
  <si>
    <t>입금완료_250912</t>
  </si>
  <si>
    <t>이영서</t>
  </si>
  <si>
    <t>카카오뱅크 3333218619729 이영서</t>
  </si>
  <si>
    <t>9709172768314</t>
  </si>
  <si>
    <t>장기병</t>
  </si>
  <si>
    <t>신한은행 110200498915 장기병</t>
  </si>
  <si>
    <t>9108221235217</t>
  </si>
  <si>
    <t>8월 택배비</t>
  </si>
  <si>
    <t>프라임컴퍼니</t>
  </si>
  <si>
    <t>우리은행 1005503521940 이영일</t>
  </si>
  <si>
    <t>831,868</t>
  </si>
  <si>
    <t>입금완료_250906</t>
  </si>
  <si>
    <t>유다모</t>
  </si>
  <si>
    <t>김보빈</t>
  </si>
  <si>
    <t xml:space="preserve">국민은행 66080204274106 김보빈 </t>
  </si>
  <si>
    <t>9608042912614</t>
  </si>
  <si>
    <t>43600</t>
  </si>
  <si>
    <t>럭슨차액</t>
  </si>
  <si>
    <t>이영희</t>
  </si>
  <si>
    <t>국민은행 910 5432 9824 이영희</t>
  </si>
  <si>
    <t>38700</t>
  </si>
  <si>
    <t>이은솔</t>
  </si>
  <si>
    <t>01031853599</t>
  </si>
  <si>
    <t>국민은행 93185359946 이은솔</t>
  </si>
  <si>
    <t>9011092183019</t>
  </si>
  <si>
    <t>193400</t>
  </si>
  <si>
    <t>입금완료_250915</t>
  </si>
  <si>
    <t>200000</t>
  </si>
  <si>
    <t>로도프_신상주부</t>
  </si>
  <si>
    <t>윤성희</t>
  </si>
  <si>
    <t>국민은행 99008428563 윤성희</t>
  </si>
  <si>
    <t>8001012065513</t>
  </si>
  <si>
    <t>입금완료_250922</t>
  </si>
  <si>
    <t>고야_급여</t>
  </si>
  <si>
    <t>박수지</t>
  </si>
  <si>
    <t>기업은행 34107033301019 박수지</t>
  </si>
  <si>
    <t>9111082169612</t>
  </si>
  <si>
    <t>1,050,000</t>
  </si>
  <si>
    <t>입금완료_250924</t>
  </si>
  <si>
    <t>이천햅쌀식혜</t>
  </si>
  <si>
    <t>전소연</t>
  </si>
  <si>
    <t>01043627758</t>
  </si>
  <si>
    <t>새마을금고/4510100233898/전소연</t>
  </si>
  <si>
    <t>9902212350811</t>
  </si>
  <si>
    <t>13,920</t>
  </si>
  <si>
    <t>입금완료_250929</t>
  </si>
  <si>
    <t>이영란</t>
  </si>
  <si>
    <t>01077446312</t>
  </si>
  <si>
    <t>카카오뱅크 3333071357849 이영란</t>
  </si>
  <si>
    <t>9601122019010</t>
  </si>
  <si>
    <t>박보연</t>
  </si>
  <si>
    <t>01058013733</t>
  </si>
  <si>
    <t>8801152020917</t>
  </si>
  <si>
    <t>입금완료_250926</t>
  </si>
  <si>
    <t>홍수지</t>
  </si>
  <si>
    <t>01082348991</t>
  </si>
  <si>
    <t>기업 01028958991홍수지</t>
  </si>
  <si>
    <t>791212069516</t>
  </si>
  <si>
    <t>조수민</t>
  </si>
  <si>
    <t>01020869699</t>
  </si>
  <si>
    <t>카카오뱅크/ 3333031484051/ 조수민</t>
  </si>
  <si>
    <t>9604032849516</t>
  </si>
  <si>
    <t>이가영</t>
  </si>
  <si>
    <t>01064164651</t>
  </si>
  <si>
    <t>국민은행 20390204123128 이가영</t>
  </si>
  <si>
    <t>9112202157611</t>
  </si>
  <si>
    <t>조성아</t>
  </si>
  <si>
    <t>01063910814</t>
  </si>
  <si>
    <t>케이뱅크 100201685860 조성아</t>
  </si>
  <si>
    <t>9108142274710</t>
  </si>
  <si>
    <t>김수지</t>
  </si>
  <si>
    <t>01099159292</t>
  </si>
  <si>
    <t>국민은행 / 91085996861 / 김수지</t>
  </si>
  <si>
    <t>9208092059514</t>
  </si>
  <si>
    <t>이수지</t>
  </si>
  <si>
    <t>01072182918</t>
  </si>
  <si>
    <t>국민13150204201006 이수지</t>
  </si>
  <si>
    <t>0008244120514</t>
  </si>
  <si>
    <t>박새롬</t>
  </si>
  <si>
    <t>01096991458</t>
  </si>
  <si>
    <t>국민 10270204037232 박새롬</t>
  </si>
  <si>
    <t>8412262852719</t>
  </si>
  <si>
    <t>조윤진</t>
  </si>
  <si>
    <t>01033320955</t>
  </si>
  <si>
    <t>하나은행 38791021375407 조윤진</t>
  </si>
  <si>
    <t>8609052081213</t>
  </si>
  <si>
    <t>강영은</t>
  </si>
  <si>
    <t>01072334495</t>
  </si>
  <si>
    <t>신한 110305368996 강영은</t>
  </si>
  <si>
    <t>9007312199646</t>
  </si>
  <si>
    <t>01058991401</t>
  </si>
  <si>
    <t>김혜진</t>
  </si>
  <si>
    <t>01072229433</t>
  </si>
  <si>
    <t xml:space="preserve">국민은행 김혜진 046210993728 </t>
  </si>
  <si>
    <t>7603012067925</t>
  </si>
  <si>
    <t>유지나</t>
  </si>
  <si>
    <t>01023743086</t>
  </si>
  <si>
    <t>카카오뱅크3333146705116 유지나</t>
  </si>
  <si>
    <t>8809212823010</t>
  </si>
  <si>
    <t>01049469235</t>
  </si>
  <si>
    <t>박지원</t>
  </si>
  <si>
    <t>01048261962</t>
  </si>
  <si>
    <t>국민 41430201182278 박지원</t>
  </si>
  <si>
    <t>8911031083212</t>
  </si>
  <si>
    <t>정혜선</t>
  </si>
  <si>
    <t>01096152629</t>
  </si>
  <si>
    <t>우리은행 1002033663245 정혜선</t>
  </si>
  <si>
    <t>8404162408714</t>
  </si>
  <si>
    <t>김아름</t>
  </si>
  <si>
    <t>01071674856</t>
  </si>
  <si>
    <t>국민은행 126240071909 김아름</t>
  </si>
  <si>
    <t>9001302125810</t>
  </si>
  <si>
    <t>윤이나</t>
  </si>
  <si>
    <t>01063807818</t>
  </si>
  <si>
    <t xml:space="preserve">농협은행3020021731501 윤이나 </t>
  </si>
  <si>
    <t>8705272199619</t>
  </si>
  <si>
    <t>이현정</t>
  </si>
  <si>
    <t>01024666800</t>
  </si>
  <si>
    <t xml:space="preserve">기업은행 51302879701012 이현정 </t>
  </si>
  <si>
    <t>9305252031814</t>
  </si>
  <si>
    <t>김선미</t>
  </si>
  <si>
    <t>01088565341</t>
  </si>
  <si>
    <t>우리은행1002637516787 김선미</t>
  </si>
  <si>
    <t>8401272041817</t>
  </si>
  <si>
    <t>김미연</t>
  </si>
  <si>
    <t>01049231116</t>
  </si>
  <si>
    <t>우리은행 1002707237384 김미연</t>
  </si>
  <si>
    <t>8311162041823</t>
  </si>
  <si>
    <t>이시현</t>
  </si>
  <si>
    <t>01077011701</t>
  </si>
  <si>
    <t xml:space="preserve">신한 49604007701 이시현 </t>
  </si>
  <si>
    <t>7509112122816</t>
  </si>
  <si>
    <t>김수정</t>
  </si>
  <si>
    <t>01096532526</t>
  </si>
  <si>
    <t>기업은행 53800834301019 김수정</t>
  </si>
  <si>
    <t>8907252057714</t>
  </si>
  <si>
    <t>김유리</t>
  </si>
  <si>
    <t>01096556358</t>
  </si>
  <si>
    <t>우리은행 1002254870251 김유리</t>
  </si>
  <si>
    <t>8807302726917</t>
  </si>
  <si>
    <t>안희</t>
  </si>
  <si>
    <t>01092452113</t>
  </si>
  <si>
    <t>신한은행 110334150910 안희</t>
  </si>
  <si>
    <t>9101302222711</t>
  </si>
  <si>
    <t>박준영</t>
  </si>
  <si>
    <t>01020367385</t>
  </si>
  <si>
    <t>카카오뱅크 3333047065280 박준영</t>
  </si>
  <si>
    <t>9611292083212</t>
  </si>
  <si>
    <t>김정원</t>
  </si>
  <si>
    <t>01033772579</t>
  </si>
  <si>
    <t>신한은행 110358506765 김정원</t>
  </si>
  <si>
    <t>9010022056521</t>
  </si>
  <si>
    <t>서샛별</t>
  </si>
  <si>
    <t>01085465535</t>
  </si>
  <si>
    <t xml:space="preserve">서샛별 농협 84812098774 </t>
  </si>
  <si>
    <t>8412092824112</t>
  </si>
  <si>
    <t>윤희정</t>
  </si>
  <si>
    <t>01066007506</t>
  </si>
  <si>
    <t xml:space="preserve">기업 07712011801019 윤희정 </t>
  </si>
  <si>
    <t>7904092258610</t>
  </si>
  <si>
    <t>박영주</t>
  </si>
  <si>
    <t>01020781940</t>
  </si>
  <si>
    <t>국민은행 766101 01 388859 박영주</t>
  </si>
  <si>
    <t>8909042552619</t>
  </si>
  <si>
    <t>이가림</t>
  </si>
  <si>
    <t>01076951189</t>
  </si>
  <si>
    <t xml:space="preserve">카카오뱅크/3333286131550 이가림 </t>
  </si>
  <si>
    <t>9507152850819</t>
  </si>
  <si>
    <t>김미진</t>
  </si>
  <si>
    <t>01051995685</t>
  </si>
  <si>
    <t>부산은행/  036120968294 /김미진</t>
  </si>
  <si>
    <t>8906232697213</t>
  </si>
  <si>
    <t>오가희</t>
  </si>
  <si>
    <t>01050961685</t>
  </si>
  <si>
    <t>우리은행 1002847501229 오가희</t>
  </si>
  <si>
    <t>8802222812415</t>
  </si>
  <si>
    <t>신예지</t>
  </si>
  <si>
    <t>01085066182</t>
  </si>
  <si>
    <t>농협 352 2160 1051 13 신 예지</t>
  </si>
  <si>
    <t>9502032767929</t>
  </si>
  <si>
    <t>홍가람</t>
  </si>
  <si>
    <t>01021259842</t>
  </si>
  <si>
    <t>케이뱅크 100133860086 홍가람</t>
  </si>
  <si>
    <t>9406112769910</t>
  </si>
  <si>
    <t>김윤정</t>
  </si>
  <si>
    <t>01066758973</t>
  </si>
  <si>
    <t xml:space="preserve">국민 91094308406 김윤정 </t>
  </si>
  <si>
    <t>9108242552815</t>
  </si>
  <si>
    <t>진영은</t>
  </si>
  <si>
    <t>01041861245</t>
  </si>
  <si>
    <t>국민 64840201248902 진영은</t>
  </si>
  <si>
    <t>9105022149748</t>
  </si>
  <si>
    <t>유지아</t>
  </si>
  <si>
    <t>01031537217</t>
  </si>
  <si>
    <t>하나은행 68091065853707/유지아</t>
  </si>
  <si>
    <t>9508082184213</t>
  </si>
  <si>
    <t>김솔희</t>
  </si>
  <si>
    <t>01023220536</t>
  </si>
  <si>
    <t>9809302067913</t>
  </si>
  <si>
    <t>이수연</t>
  </si>
  <si>
    <t>01091833040</t>
  </si>
  <si>
    <t xml:space="preserve">국민 910602 01 109797 이수연 </t>
  </si>
  <si>
    <t>8506202182519</t>
  </si>
  <si>
    <t>송은실</t>
  </si>
  <si>
    <t>01087305073</t>
  </si>
  <si>
    <t>국민 06910204017276 송은실</t>
  </si>
  <si>
    <t>7701312105117</t>
  </si>
  <si>
    <t>김도아</t>
  </si>
  <si>
    <t>01079794699</t>
  </si>
  <si>
    <t>신한 110449365252 김도아</t>
  </si>
  <si>
    <t>8509082025927</t>
  </si>
  <si>
    <t>김소영</t>
  </si>
  <si>
    <t>01087645795</t>
  </si>
  <si>
    <t>신한은행/110346268097/김소영</t>
  </si>
  <si>
    <t>8701212663712</t>
  </si>
  <si>
    <t>김효국</t>
  </si>
  <si>
    <t>01055515737</t>
  </si>
  <si>
    <t xml:space="preserve">카카오뱅크 3333266158154 김효국 </t>
  </si>
  <si>
    <t>8208081794017</t>
  </si>
  <si>
    <t>여만엽</t>
  </si>
  <si>
    <t>01051157254</t>
  </si>
  <si>
    <t xml:space="preserve">토스뱅크 100043567039 여만엽 </t>
  </si>
  <si>
    <t>7804121808011</t>
  </si>
  <si>
    <t>편유지</t>
  </si>
  <si>
    <t>01032630265</t>
  </si>
  <si>
    <t xml:space="preserve">국민 / 77130201402280 / 편유지 </t>
  </si>
  <si>
    <t>9102242642218</t>
  </si>
  <si>
    <t>조승혜</t>
  </si>
  <si>
    <t>01039755233</t>
  </si>
  <si>
    <t>국민 42040104152249 조승혜</t>
  </si>
  <si>
    <t>9305202024414</t>
  </si>
  <si>
    <t>김미선</t>
  </si>
  <si>
    <t>01094670153</t>
  </si>
  <si>
    <t xml:space="preserve">케이뱅크 100200434561 김미선 </t>
  </si>
  <si>
    <t>8809182059313</t>
  </si>
  <si>
    <t>01023867564</t>
  </si>
  <si>
    <t>장성주</t>
  </si>
  <si>
    <t>01024808129</t>
  </si>
  <si>
    <t>국민은행 28510204273386 장성주</t>
  </si>
  <si>
    <t>9505032183115</t>
  </si>
  <si>
    <t>최지선</t>
  </si>
  <si>
    <t>01049427765</t>
  </si>
  <si>
    <t>카카오뱅크 3333086833341 최지선</t>
  </si>
  <si>
    <t>9008242042116</t>
  </si>
  <si>
    <t>황혜미</t>
  </si>
  <si>
    <t>01034317891</t>
  </si>
  <si>
    <t>미래에셋 / 400697000880 / 황혜미</t>
  </si>
  <si>
    <t>8510282019610</t>
  </si>
  <si>
    <t>김예진</t>
  </si>
  <si>
    <t>01039555044</t>
  </si>
  <si>
    <t>국민 47540104166914 김예진</t>
  </si>
  <si>
    <t>9402272067025</t>
  </si>
  <si>
    <t>박현아</t>
  </si>
  <si>
    <t>01023124830</t>
  </si>
  <si>
    <t>농협  3510553507713 박현아</t>
  </si>
  <si>
    <t>7106102320912</t>
  </si>
  <si>
    <t>김다미</t>
  </si>
  <si>
    <t>01022530052</t>
  </si>
  <si>
    <t>우리은행 1002831430288 김다미</t>
  </si>
  <si>
    <t>8602252051113</t>
  </si>
  <si>
    <t>김종우</t>
  </si>
  <si>
    <t>01080805322</t>
  </si>
  <si>
    <t>카카오뱅크 79420993495 김종우</t>
  </si>
  <si>
    <t>8912041055526</t>
  </si>
  <si>
    <t>경기도 과천시 매봉로 69 a동 201호</t>
  </si>
  <si>
    <t>농협/84812098774/서샛별</t>
  </si>
  <si>
    <t>7,000</t>
  </si>
  <si>
    <t>입금완료_250909</t>
  </si>
  <si>
    <t>홀릭소스_BBQ</t>
  </si>
  <si>
    <t>서가희</t>
  </si>
  <si>
    <t>01066062511</t>
  </si>
  <si>
    <t>부산광역시 연제구 중앙대로 1076번길 19 연산동 펠리스포유 906호</t>
  </si>
  <si>
    <t>우리은행 1002859315638 서가희</t>
  </si>
  <si>
    <t>9306162896413</t>
  </si>
  <si>
    <t>경상남도 창원사 마산회원구 내서읍 삼풍로 82 삼계현대아파트</t>
  </si>
  <si>
    <t xml:space="preserve">카카오뱅크3333146705116유지나 </t>
  </si>
  <si>
    <t>유지현</t>
  </si>
  <si>
    <t>01035269475</t>
  </si>
  <si>
    <t>경기도 성남시 중원구 금광동 1001 그랑메종 102-204</t>
  </si>
  <si>
    <t>국민은행 90915020957 유지현</t>
  </si>
  <si>
    <t>9202092912611</t>
  </si>
  <si>
    <t>구혜진</t>
  </si>
  <si>
    <t>01065353315</t>
  </si>
  <si>
    <t>대구은행 222080116569 구혜진</t>
  </si>
  <si>
    <t>8704052797912</t>
  </si>
  <si>
    <t>입금완료_250918</t>
  </si>
  <si>
    <t>양승호</t>
  </si>
  <si>
    <t>01025811684</t>
  </si>
  <si>
    <t>서울특별시 성북구 숭인로 50</t>
  </si>
  <si>
    <t>국민 43760201366457 양승호</t>
  </si>
  <si>
    <t>8612111069819</t>
  </si>
  <si>
    <t>이서연</t>
  </si>
  <si>
    <t>01097528883</t>
  </si>
  <si>
    <t>경기도 부천시 원미구 석천로 110번걸 56 삼성쉐르빌 502호</t>
  </si>
  <si>
    <t>국민은행63610201331355  이서연</t>
  </si>
  <si>
    <t>9504072184314</t>
  </si>
  <si>
    <t>송지현</t>
  </si>
  <si>
    <t>01072297704</t>
  </si>
  <si>
    <t xml:space="preserve">충청남도 공주시 신관동 19 </t>
  </si>
  <si>
    <t>하나은행 67291038419307 송지현</t>
  </si>
  <si>
    <t>8802112841211</t>
  </si>
  <si>
    <t>주민번호</t>
  </si>
  <si>
    <t xml:space="preserve">경기도 부천시 여월동 333 </t>
  </si>
  <si>
    <t>부산광역시 연제구 연산동 2220 주공아파트 117-1203</t>
  </si>
  <si>
    <t>국민은행126240071909김아름</t>
  </si>
  <si>
    <t>김한</t>
  </si>
  <si>
    <t>01057597750</t>
  </si>
  <si>
    <t>서울특별시 노원구 상께동 624</t>
  </si>
  <si>
    <t>우리 1002335775336 /김한</t>
  </si>
  <si>
    <t>8506051006036</t>
  </si>
  <si>
    <t>김혜정</t>
  </si>
  <si>
    <t>01052039832</t>
  </si>
  <si>
    <t>우리은행 056 017019 02 601 김혜정</t>
  </si>
  <si>
    <t>7801082063717</t>
  </si>
  <si>
    <t>윤나영</t>
  </si>
  <si>
    <t>01082074025</t>
  </si>
  <si>
    <t>우리은행/ 1002556044386/ 윤나영</t>
  </si>
  <si>
    <t>001124162330</t>
  </si>
  <si>
    <t xml:space="preserve">국민 63610201331355 이서연 </t>
  </si>
  <si>
    <t>서하민</t>
  </si>
  <si>
    <t>01052331045</t>
  </si>
  <si>
    <t>국민/70490200080126/서하민/</t>
  </si>
  <si>
    <t>9307272852922</t>
  </si>
  <si>
    <t>입금완료_250919</t>
  </si>
  <si>
    <t>이미선</t>
  </si>
  <si>
    <t>01030763842</t>
  </si>
  <si>
    <t>케이뱅크/100175700089/이미선</t>
  </si>
  <si>
    <t>8610272184211</t>
  </si>
  <si>
    <t>홀릭소스_쌈장</t>
  </si>
  <si>
    <t>지인걸</t>
  </si>
  <si>
    <t>01044850330</t>
  </si>
  <si>
    <t>경기도 광명시 소하동 36-57 비앤펠리스 805호</t>
  </si>
  <si>
    <t>하나은행74891002330007지인걸</t>
  </si>
  <si>
    <t>8010021702912</t>
  </si>
  <si>
    <t>최선희</t>
  </si>
  <si>
    <t>01089563025</t>
  </si>
  <si>
    <t>경기도 포천시 신북면 호국로 1886-27 103-1204</t>
  </si>
  <si>
    <t>우리은행 / 1002740145576 / 최선희</t>
  </si>
  <si>
    <t>9003252155824</t>
  </si>
  <si>
    <t>김도영</t>
  </si>
  <si>
    <t>01051234696</t>
  </si>
  <si>
    <t>대구광역시 북구 칠성남로 30 102-2603</t>
  </si>
  <si>
    <t>IM뱅크 508152723669 김도영</t>
  </si>
  <si>
    <t>8609271673610</t>
  </si>
  <si>
    <t>김규리</t>
  </si>
  <si>
    <t>01072180825</t>
  </si>
  <si>
    <t>울산광역시 중구 학성동 432-12 동남하이빌 6차 1604호</t>
  </si>
  <si>
    <t>새마을금고 9003250582037 김규리</t>
  </si>
  <si>
    <t>9102222853210</t>
  </si>
  <si>
    <t>이창우(이진아）</t>
  </si>
  <si>
    <t>01036711455</t>
  </si>
  <si>
    <t>서울특별시 금천구 독산동 1156 금천롯데캐슬골드파크 4차</t>
  </si>
  <si>
    <t>기업 51007442801011 이진아</t>
  </si>
  <si>
    <t>9503232055517</t>
  </si>
  <si>
    <t>서울특별시 동대문구 답십리동 41 동서울한양아파트 1동 710호</t>
  </si>
  <si>
    <t>01045586212</t>
  </si>
  <si>
    <t>경기도 과천시 가일로 15-9 1층</t>
  </si>
  <si>
    <t>백수진</t>
  </si>
  <si>
    <t>01091596440</t>
  </si>
  <si>
    <t xml:space="preserve">부산광역시 기장군 기장읍 차성남로 99-4 </t>
  </si>
  <si>
    <t>기업은행/33608146201014/백수진</t>
  </si>
  <si>
    <t>8712212902019</t>
  </si>
  <si>
    <t>박지은</t>
  </si>
  <si>
    <t>01042361230</t>
  </si>
  <si>
    <t>서울특별시 관악구 신림로48길 17-14 201호</t>
  </si>
  <si>
    <t>우리 1002533575429 박지은</t>
  </si>
  <si>
    <t>8812302251211</t>
  </si>
  <si>
    <t>최서주</t>
  </si>
  <si>
    <t>01090038738</t>
  </si>
  <si>
    <t>카카오뱅크 /3333283426725/최서주</t>
  </si>
  <si>
    <t>0011124100119</t>
  </si>
  <si>
    <t>황인애</t>
  </si>
  <si>
    <t>01031708711</t>
  </si>
  <si>
    <t>우리은행/1002256947454/황인애</t>
  </si>
  <si>
    <t>9603222692715</t>
  </si>
  <si>
    <t>유종숙</t>
  </si>
  <si>
    <t>01024753586</t>
  </si>
  <si>
    <t xml:space="preserve">우리은행 05504797912501 유종숙 </t>
  </si>
  <si>
    <t>7811202068111</t>
  </si>
  <si>
    <t>홀릭소스_고추장</t>
  </si>
  <si>
    <t>경상남도 창원시 마산회원구 내서읍 삼계리 21</t>
  </si>
  <si>
    <t>김동규</t>
  </si>
  <si>
    <t>01041458193</t>
  </si>
  <si>
    <t>경기도 성남시 수정구 공원로339번길 19 희망이움투는집</t>
  </si>
  <si>
    <t>카카오뱅크3333208245261 김동규</t>
  </si>
  <si>
    <t>8102091548041</t>
  </si>
  <si>
    <t>양혜진</t>
  </si>
  <si>
    <t>01055880206</t>
  </si>
  <si>
    <t>서울특별시 송파구 송파대로 570</t>
  </si>
  <si>
    <t>하나은행 620206172387 양혜진</t>
  </si>
  <si>
    <t>8811262122026</t>
  </si>
  <si>
    <t>01071209874</t>
  </si>
  <si>
    <t>서울특별시 강서구 마곡서1로</t>
  </si>
  <si>
    <t>우리 1002235034258 박지은</t>
  </si>
  <si>
    <t>8102172483116</t>
  </si>
  <si>
    <t>01094452482</t>
  </si>
  <si>
    <t>서울특별시 강서구 마곡서1로 100</t>
  </si>
  <si>
    <t>이진아</t>
  </si>
  <si>
    <t>01034285457</t>
  </si>
  <si>
    <t>서울특별시 영등포구 도림로 110길 2 단층</t>
  </si>
  <si>
    <t>김은미</t>
  </si>
  <si>
    <t>01043665577</t>
  </si>
  <si>
    <t>경기도 화성시 봉담읍 동화리 봉담자이라피네 108-1606</t>
  </si>
  <si>
    <t>신협 01043665577 김은미</t>
  </si>
  <si>
    <t>8304132852518</t>
  </si>
  <si>
    <t>경기도 부천시 원미구 원미1동 두산아파트 102동 1306호</t>
  </si>
  <si>
    <t>송누리</t>
  </si>
  <si>
    <t>01066764084</t>
  </si>
  <si>
    <t>경기도 포천시 소흘읍 호국로429번길 27 미래홈타운 102-401</t>
  </si>
  <si>
    <t>농협은행/3510088021683/송누리</t>
  </si>
  <si>
    <t>9601312174010</t>
  </si>
  <si>
    <t>권보라</t>
  </si>
  <si>
    <t>01089861237</t>
  </si>
  <si>
    <t xml:space="preserve">경기도 남양주시 와부읍 덕소리 541-11 덕소강변 </t>
  </si>
  <si>
    <t xml:space="preserve">국민은행 66200201781319 권보라 </t>
  </si>
  <si>
    <t>8711272533415</t>
  </si>
  <si>
    <t>7,800</t>
  </si>
  <si>
    <t>01027992315</t>
  </si>
  <si>
    <t>양하얀</t>
  </si>
  <si>
    <t>기업은행 0012344321 양하얀</t>
  </si>
  <si>
    <t>9707092158915</t>
  </si>
  <si>
    <t>이하얀</t>
  </si>
  <si>
    <t>01046638300</t>
  </si>
  <si>
    <t>국민 65030204037885 이하얀</t>
  </si>
  <si>
    <t>9301272047213</t>
  </si>
  <si>
    <t>이슬기</t>
  </si>
  <si>
    <t>01062290998</t>
  </si>
  <si>
    <t>카카오뱅크/3333227549275 이슬기</t>
  </si>
  <si>
    <t>8802142468811</t>
  </si>
  <si>
    <t>주다혜</t>
  </si>
  <si>
    <t>01041848454</t>
  </si>
  <si>
    <t>신한 110433867297 주다혜</t>
  </si>
  <si>
    <t>9807312218511</t>
  </si>
  <si>
    <t>황인경</t>
  </si>
  <si>
    <t>0154750462</t>
  </si>
  <si>
    <t>카카오뱅크/3333171559107/황인경</t>
  </si>
  <si>
    <t>9109172670319</t>
  </si>
  <si>
    <t>디오니_스콜쳐</t>
  </si>
  <si>
    <t>김민정</t>
  </si>
  <si>
    <t>01025084847</t>
  </si>
  <si>
    <t>부산광역시 연제구 연산동 23412 연제롯데캐슬&amp;데시앙</t>
  </si>
  <si>
    <t>기업 01025084847 김민정</t>
  </si>
  <si>
    <t>9209092852919</t>
  </si>
  <si>
    <t>5,050</t>
  </si>
  <si>
    <t>입금완료_250902</t>
  </si>
  <si>
    <t>강수지</t>
  </si>
  <si>
    <t>01093169380</t>
  </si>
  <si>
    <t xml:space="preserve">경기도 의정부시 장금로78번길 41 101-603 </t>
  </si>
  <si>
    <t>하나은행 28291029554307 강수지</t>
  </si>
  <si>
    <t>9102012034721</t>
  </si>
  <si>
    <t>김선애</t>
  </si>
  <si>
    <t>01044468090</t>
  </si>
  <si>
    <t>대구광역시 북구 학정동 982 칠곡2차 한라하우젠트 201-202</t>
  </si>
  <si>
    <t>케이뱅크 100149557594 김선애</t>
  </si>
  <si>
    <t>8012122683313</t>
  </si>
  <si>
    <t>5,270</t>
  </si>
  <si>
    <t>김희선</t>
  </si>
  <si>
    <t>01085565488</t>
  </si>
  <si>
    <t>서울특별시 강서구 허준로 139 310-906</t>
  </si>
  <si>
    <t xml:space="preserve">신한은행 110477902831/ 김희선 </t>
  </si>
  <si>
    <t>9406302491019</t>
  </si>
  <si>
    <t>5,150</t>
  </si>
  <si>
    <t>정이슬</t>
  </si>
  <si>
    <t>01075747079</t>
  </si>
  <si>
    <t>서울특별시 동대문구 망우로 18바길 16-11</t>
  </si>
  <si>
    <t xml:space="preserve">기업은행 01065944965 정이슬 </t>
  </si>
  <si>
    <t>9405272064911</t>
  </si>
  <si>
    <t>이경인</t>
  </si>
  <si>
    <t>01086925776</t>
  </si>
  <si>
    <t>경기도 안양시 동안구 시민대로 252 평촌 푸르지오 센트럴 102동 4004호</t>
  </si>
  <si>
    <t>국민  62060201189265 이경인</t>
  </si>
  <si>
    <t>9010312177511</t>
  </si>
  <si>
    <t>이하림</t>
  </si>
  <si>
    <t>신한 110392231514 이하림</t>
  </si>
  <si>
    <t>9202272126321</t>
  </si>
  <si>
    <t>이영필</t>
  </si>
  <si>
    <t>01056104686</t>
  </si>
  <si>
    <t>경기도 수원시 장안구 정자동 913 북수원 리버파크 813-503</t>
  </si>
  <si>
    <t>우리은행1002 033 325590이영필</t>
  </si>
  <si>
    <t>8802011126211</t>
  </si>
  <si>
    <t>01048717132</t>
  </si>
  <si>
    <t>이예진</t>
  </si>
  <si>
    <t>01048564878</t>
  </si>
  <si>
    <t>서울특별시 성북구 돌곶이로23가길 50 402호</t>
  </si>
  <si>
    <t>기업은행 01041706399 이예진</t>
  </si>
  <si>
    <t>9311042081411</t>
  </si>
  <si>
    <t>서울특별시 관악구 신림동 91-45 201호</t>
  </si>
  <si>
    <t>김연송</t>
  </si>
  <si>
    <t>01029607881</t>
  </si>
  <si>
    <t>광주광역시 광산구 사암로340번길 30 월곡동</t>
  </si>
  <si>
    <t>국민/55860204128687/김연송</t>
  </si>
  <si>
    <t>9802122568611</t>
  </si>
  <si>
    <t>김태환</t>
  </si>
  <si>
    <t>01034616077</t>
  </si>
  <si>
    <t>국민은행 80170204128877 김태환</t>
  </si>
  <si>
    <t>9112071918426</t>
  </si>
  <si>
    <t>박서연</t>
  </si>
  <si>
    <t>01077726069</t>
  </si>
  <si>
    <t>카뱅 3333052911859 박서연</t>
  </si>
  <si>
    <t>9806152162313</t>
  </si>
  <si>
    <t>최주원</t>
  </si>
  <si>
    <t>신한은행/110454716456/최주원</t>
  </si>
  <si>
    <t>9406092090419</t>
  </si>
  <si>
    <t>이선옥</t>
  </si>
  <si>
    <t>Sc제일/59620260307/이선옥</t>
  </si>
  <si>
    <t>8702032199325</t>
  </si>
  <si>
    <t>박해랑</t>
  </si>
  <si>
    <t>01090399063</t>
  </si>
  <si>
    <t>신한/110451136409/박해랑</t>
  </si>
  <si>
    <t>9501272676515</t>
  </si>
  <si>
    <t>입금완료_250923</t>
  </si>
  <si>
    <t>방시리</t>
  </si>
  <si>
    <t>01033473655</t>
  </si>
  <si>
    <t>국민 91033473655 방시리</t>
  </si>
  <si>
    <t>8608102227212</t>
  </si>
  <si>
    <t>4,150</t>
  </si>
  <si>
    <t>라면깡_오리지널</t>
  </si>
  <si>
    <t>장하나</t>
  </si>
  <si>
    <t>01085599059</t>
  </si>
  <si>
    <t>전라북도 익산시 여산면 북성길 42 107동 401호(푸른마을아파트)</t>
  </si>
  <si>
    <t>신협 132065403566 장하나</t>
  </si>
  <si>
    <t>9101032067916</t>
  </si>
  <si>
    <t>11,700</t>
  </si>
  <si>
    <t>이아라</t>
  </si>
  <si>
    <t>01027833093</t>
  </si>
  <si>
    <t>인천광역시 부평구 동수로 36 102동 2602호</t>
  </si>
  <si>
    <t>신한  110384434548 이아라</t>
  </si>
  <si>
    <t>9407082154723</t>
  </si>
  <si>
    <t>이진강</t>
  </si>
  <si>
    <t>01067167896</t>
  </si>
  <si>
    <t>부산광역시 부산진구 동평로 409 3-509</t>
  </si>
  <si>
    <t>카카오 3333016435556 이진강</t>
  </si>
  <si>
    <t>9011141835810</t>
  </si>
  <si>
    <t>10,000</t>
  </si>
  <si>
    <t>강경희</t>
  </si>
  <si>
    <t>01057517544</t>
  </si>
  <si>
    <t>광주광역시 북구 비엔날레로93번길 11-6 아트빌 306호</t>
  </si>
  <si>
    <t>농협 3524347112243 강경희</t>
  </si>
  <si>
    <t>9209262551017</t>
  </si>
  <si>
    <t>박수진</t>
  </si>
  <si>
    <t>01099864167</t>
  </si>
  <si>
    <t>서울특별시 구로구 천왕로 56 307-805</t>
  </si>
  <si>
    <t>국민은행 51840201473236 박수진</t>
  </si>
  <si>
    <t>9206152071228</t>
  </si>
  <si>
    <t>김수진</t>
  </si>
  <si>
    <t>01022865196</t>
  </si>
  <si>
    <t>경기도 파주시 와동동 1338 가람마을7단지 한라비발디 710-1804</t>
  </si>
  <si>
    <t>토스뱅크 100002217802 김수진</t>
  </si>
  <si>
    <t>9002142199518</t>
  </si>
  <si>
    <t>최보람</t>
  </si>
  <si>
    <t>01076350915</t>
  </si>
  <si>
    <t>경기도 시흥시 정왕동 126 무진아파트 111-105</t>
  </si>
  <si>
    <t>카카오뱅크 3333315269089 최보람</t>
  </si>
  <si>
    <t>9706062199118</t>
  </si>
  <si>
    <t>김훈</t>
  </si>
  <si>
    <t>01098875585</t>
  </si>
  <si>
    <t>광주광역시 동구 충장로5가 96-4 로머스파크 헤리티지 102-1603</t>
  </si>
  <si>
    <t>신한은행 / 110411685519/ 김훈</t>
  </si>
  <si>
    <t>9507311560813</t>
  </si>
  <si>
    <t>이다애</t>
  </si>
  <si>
    <t>01067414900</t>
  </si>
  <si>
    <t>광주광역시 광산구 임방울대로825번길 60-6 102동 704호</t>
  </si>
  <si>
    <t>농협 3561052143783 이다애</t>
  </si>
  <si>
    <t>8609112551127</t>
  </si>
  <si>
    <t>입금완료_250903</t>
  </si>
  <si>
    <t>이한나</t>
  </si>
  <si>
    <t>01089236018</t>
  </si>
  <si>
    <t>경기도 양주시 고양길 305-405-403</t>
  </si>
  <si>
    <t xml:space="preserve">국민은행 834210399037 이한나 </t>
  </si>
  <si>
    <t>8402022051119</t>
  </si>
  <si>
    <t>이나영</t>
  </si>
  <si>
    <t>01023755661</t>
  </si>
  <si>
    <t>경기도 평택시 소사동 뉴비전엘크루 101-1303</t>
  </si>
  <si>
    <t xml:space="preserve">국민 45320204035000 이나영 </t>
  </si>
  <si>
    <t>16100136937612</t>
  </si>
  <si>
    <t>경기도 군포시 재궁동 한성목화아파트 133-1402</t>
  </si>
  <si>
    <t>우리은행 05601701902601김혜정</t>
  </si>
  <si>
    <t>이태경</t>
  </si>
  <si>
    <t>01096975746</t>
  </si>
  <si>
    <t>서울시 구로구 천왕동 천왕이팬하우스 604-1301</t>
  </si>
  <si>
    <t>국민 805901 04 153366 이태경</t>
  </si>
  <si>
    <t>9609072050217</t>
  </si>
  <si>
    <t>박소미</t>
  </si>
  <si>
    <t>01082200375</t>
  </si>
  <si>
    <t>광주광역시 광산구 창덕로96번길 16-24</t>
  </si>
  <si>
    <t>농협 356 0564 2626 13 박소미</t>
  </si>
  <si>
    <t>9312302560128</t>
  </si>
  <si>
    <t>이유진</t>
  </si>
  <si>
    <t>01093023645</t>
  </si>
  <si>
    <t>부산광역시 사하구 마하로 81 1410호(당리동, 삼성타워맨션)</t>
  </si>
  <si>
    <t>카카오 3333083904468 이유진</t>
  </si>
  <si>
    <t>910306202093411</t>
  </si>
  <si>
    <t>박민지</t>
  </si>
  <si>
    <t>01092285209</t>
  </si>
  <si>
    <t>부산광역시 서구 부민동1가 12-2 다사랑빌 1104호</t>
  </si>
  <si>
    <t>카카오뱅크 3333030238587 박민지</t>
  </si>
  <si>
    <t>9102082906311</t>
  </si>
  <si>
    <t>10,020</t>
  </si>
  <si>
    <t>권혜미</t>
  </si>
  <si>
    <t>01088978493</t>
  </si>
  <si>
    <t>서울특별시 노원구 수락산로 12 상계동</t>
  </si>
  <si>
    <t>우리은행 1002333705014 권헤미</t>
  </si>
  <si>
    <t>8807022012419</t>
  </si>
  <si>
    <t>신자영</t>
  </si>
  <si>
    <t>01073070719</t>
  </si>
  <si>
    <t>경기도 화성시 산척동 279 중흥에스클래스 에듀하이 2412동 1501호</t>
  </si>
  <si>
    <t>우리은행 1002642136110 신자영</t>
  </si>
  <si>
    <t>8806252338911</t>
  </si>
  <si>
    <t>김민희</t>
  </si>
  <si>
    <t>01065500322</t>
  </si>
  <si>
    <t>경기도 용인시 처인구 모현읍 백옥대로 2402번길 31-12</t>
  </si>
  <si>
    <t>케이뱅크 001065500322 김민희</t>
  </si>
  <si>
    <t>8603222000814</t>
  </si>
  <si>
    <t>이소영</t>
  </si>
  <si>
    <t>01093931215</t>
  </si>
  <si>
    <t xml:space="preserve"> 국민 76610101452844 이소영</t>
  </si>
  <si>
    <t>8812152561011</t>
  </si>
  <si>
    <t>경상북도 구미시 여헌로 40-13 101동 902호( 인의동, 구미인동하늘채디어반)</t>
  </si>
  <si>
    <t>케이뱅크/100133860086/홍가람</t>
  </si>
  <si>
    <t>10,530</t>
  </si>
  <si>
    <t>서울특별시 관락구 구암5길 103동 1504호</t>
  </si>
  <si>
    <t xml:space="preserve">국민은행  046210993728 김혜진 </t>
  </si>
  <si>
    <t>최혜원</t>
  </si>
  <si>
    <t>01056986221</t>
  </si>
  <si>
    <t>대구광역시 동구 반야월북로 123 각산동</t>
  </si>
  <si>
    <t>농협/3560201416103/최혜원</t>
  </si>
  <si>
    <t>9106072851627</t>
  </si>
  <si>
    <t>지하림</t>
  </si>
  <si>
    <t>01065221723</t>
  </si>
  <si>
    <t>부산광역시 연제구 거제동 43 거제 미소지움 더퍼스트</t>
  </si>
  <si>
    <t>국민은행/91065651723/지하림</t>
  </si>
  <si>
    <t>8709152786417</t>
  </si>
  <si>
    <t>이경림</t>
  </si>
  <si>
    <t>01063885529</t>
  </si>
  <si>
    <t>대구광역시 북구 고성동1가 265 힐스테이트 대구역오페라 102동 2603호</t>
  </si>
  <si>
    <t>IM뱅크 055 08 231188 이경림</t>
  </si>
  <si>
    <t>6010242690411</t>
  </si>
  <si>
    <t>고은지</t>
  </si>
  <si>
    <t>01033133999</t>
  </si>
  <si>
    <t xml:space="preserve">층청남도 천안시 서북구 성성동 734 </t>
  </si>
  <si>
    <t>국민 23270204103788 고은지</t>
  </si>
  <si>
    <t>8610252352517</t>
  </si>
  <si>
    <t>김민지</t>
  </si>
  <si>
    <t>01097430999</t>
  </si>
  <si>
    <t>경기도 광주시</t>
  </si>
  <si>
    <t>신한은행110199940928김민지</t>
  </si>
  <si>
    <t>8303162081719</t>
  </si>
  <si>
    <t>강지은</t>
  </si>
  <si>
    <t>01023737359</t>
  </si>
  <si>
    <t>경기도 수원시 장안구 경수대로 908번길 9-17 303호(조원동)</t>
  </si>
  <si>
    <t xml:space="preserve">우리은행 1002651839660 강지은 </t>
  </si>
  <si>
    <t>8811232822418</t>
  </si>
  <si>
    <t>위재웅</t>
  </si>
  <si>
    <t>01075995959</t>
  </si>
  <si>
    <t>카카오뱅크/3333062554314/위재웅</t>
  </si>
  <si>
    <t>9206181185022</t>
  </si>
  <si>
    <t>이슬비</t>
  </si>
  <si>
    <t>01036718607</t>
  </si>
  <si>
    <t>카카오뱅크/3333047266141/이슬비</t>
  </si>
  <si>
    <t>9309262148922</t>
  </si>
  <si>
    <t>한송희</t>
  </si>
  <si>
    <t>ㄹ</t>
  </si>
  <si>
    <t>신한/110416073610/한송희</t>
  </si>
  <si>
    <t>9110032676111</t>
  </si>
  <si>
    <t>김순옥</t>
  </si>
  <si>
    <t>01039001731</t>
  </si>
  <si>
    <t xml:space="preserve">카카오뱅크 3333157026047 김순옥 </t>
  </si>
  <si>
    <t>6701032787545</t>
  </si>
  <si>
    <t>이지영</t>
  </si>
  <si>
    <t>01068556204</t>
  </si>
  <si>
    <t>우리은행 1002 348 829601 이지영</t>
  </si>
  <si>
    <t>8812062928218</t>
  </si>
  <si>
    <t>01080337268</t>
  </si>
  <si>
    <t>국민 90915020957 유지현</t>
  </si>
  <si>
    <t>강솔희</t>
  </si>
  <si>
    <t>01029231143</t>
  </si>
  <si>
    <t>농협 3029063495971 강솔희</t>
  </si>
  <si>
    <t>950531218461</t>
  </si>
  <si>
    <t>01099794465</t>
  </si>
  <si>
    <t>차동혁</t>
  </si>
  <si>
    <t>01039838259</t>
  </si>
  <si>
    <t>카오뱅크 3333082471590 차동혁</t>
  </si>
  <si>
    <t>8103181850914</t>
  </si>
  <si>
    <t>허가인</t>
  </si>
  <si>
    <t>01049449508</t>
  </si>
  <si>
    <t>기업 17410784501011허가인</t>
  </si>
  <si>
    <t>9509122830118</t>
  </si>
  <si>
    <t>구미연</t>
  </si>
  <si>
    <t>01092367309</t>
  </si>
  <si>
    <t>우리은행/1002466286319/구미연</t>
  </si>
  <si>
    <t>9302182199738</t>
  </si>
  <si>
    <t>주민번호 오류</t>
  </si>
  <si>
    <t>조현주</t>
  </si>
  <si>
    <t>01030821987</t>
  </si>
  <si>
    <t>신한 110441374477 조현주</t>
  </si>
  <si>
    <t>8910042109117</t>
  </si>
  <si>
    <t>서유진</t>
  </si>
  <si>
    <t>01020548282</t>
  </si>
  <si>
    <t>케이뱅크 100162300133 서유진</t>
  </si>
  <si>
    <t>8601192726112</t>
  </si>
  <si>
    <t>김은숙</t>
  </si>
  <si>
    <t>01086210507</t>
  </si>
  <si>
    <t xml:space="preserve">기업은행 01086210507 김은숙 </t>
  </si>
  <si>
    <t>7604182659517</t>
  </si>
  <si>
    <t>김대현</t>
  </si>
  <si>
    <t>01044007299</t>
  </si>
  <si>
    <t xml:space="preserve">카카오 3333207479641 김대현 </t>
  </si>
  <si>
    <t>8709111822510</t>
  </si>
  <si>
    <t>홍초롱</t>
  </si>
  <si>
    <t>01024075059</t>
  </si>
  <si>
    <t>케이뱅크/100146130092/홍초롱</t>
  </si>
  <si>
    <t>9304162351115</t>
  </si>
  <si>
    <t>안진숙</t>
  </si>
  <si>
    <t>01099801245</t>
  </si>
  <si>
    <t>우리은행 /06710556102004 /안진숙</t>
  </si>
  <si>
    <t>8104162042121</t>
  </si>
  <si>
    <t>정민</t>
  </si>
  <si>
    <t>01040002658</t>
  </si>
  <si>
    <t>카카오뱅크 3333026263960 정민</t>
  </si>
  <si>
    <t>91060211152017</t>
  </si>
  <si>
    <t>김서하</t>
  </si>
  <si>
    <t>01054279385</t>
  </si>
  <si>
    <t>미래에셋대우 400868573860 김서하</t>
  </si>
  <si>
    <t>9408312768314</t>
  </si>
  <si>
    <t>박재두（박정삼）</t>
  </si>
  <si>
    <t>01054494188</t>
  </si>
  <si>
    <t>케이뱅크 100169240047 박정삼</t>
  </si>
  <si>
    <t>8806171122914</t>
  </si>
  <si>
    <t>서효영</t>
  </si>
  <si>
    <t>01099730098</t>
  </si>
  <si>
    <t xml:space="preserve">카카오 뱅크 3333055224158 서효영 </t>
  </si>
  <si>
    <t>8309082075310</t>
  </si>
  <si>
    <t>윤신혜</t>
  </si>
  <si>
    <t>01074349885</t>
  </si>
  <si>
    <t>카카오뱅크 3333095298500 윤신혜</t>
  </si>
  <si>
    <t>9004132919311</t>
  </si>
  <si>
    <t>최진우</t>
  </si>
  <si>
    <t>01043360226</t>
  </si>
  <si>
    <t>카카오뱅크 3333064709021 최진우_x000D_</t>
  </si>
  <si>
    <t>9002261157819</t>
  </si>
  <si>
    <t>송재영</t>
  </si>
  <si>
    <t>01020116745</t>
  </si>
  <si>
    <t>sc은행/78420018841/송재영</t>
  </si>
  <si>
    <t>8802072183213</t>
  </si>
  <si>
    <t>김상이</t>
  </si>
  <si>
    <t>1046563342</t>
  </si>
  <si>
    <t>우체국 31050802722567 김상이</t>
  </si>
  <si>
    <t>8702132411711</t>
  </si>
  <si>
    <t>정현호</t>
  </si>
  <si>
    <t>01059207920</t>
  </si>
  <si>
    <t>국민은행/63100204251192/정현호</t>
  </si>
  <si>
    <t>9010311726115</t>
  </si>
  <si>
    <t>정은혜</t>
  </si>
  <si>
    <t>01065155214</t>
  </si>
  <si>
    <t>카카오뱅크 3333165926063 정은혜</t>
  </si>
  <si>
    <t>9212062860717</t>
  </si>
  <si>
    <t>김정숙</t>
  </si>
  <si>
    <t>01031858811</t>
  </si>
  <si>
    <t>광주은행 107121483808김정숙</t>
  </si>
  <si>
    <t>7805232659529</t>
  </si>
  <si>
    <t>박헌일</t>
  </si>
  <si>
    <t>01098721044</t>
  </si>
  <si>
    <t>카카오뱅크 3333345060113 박헌일</t>
  </si>
  <si>
    <t>8707111360711</t>
  </si>
  <si>
    <t>김연미</t>
  </si>
  <si>
    <t>01073987776</t>
  </si>
  <si>
    <t>우리은행/1002440501270/김연미</t>
  </si>
  <si>
    <t>8103092392316</t>
  </si>
  <si>
    <t>정수연</t>
  </si>
  <si>
    <t>01099655230</t>
  </si>
  <si>
    <t>카카오뱅크 3333126349574 정수연</t>
  </si>
  <si>
    <t>8811152480717</t>
  </si>
  <si>
    <t>01032656125</t>
  </si>
  <si>
    <t>기업 34107033301019 박수지</t>
  </si>
  <si>
    <t>9110082169612</t>
  </si>
  <si>
    <t>라면깡-스파이시</t>
  </si>
  <si>
    <t>김세연</t>
  </si>
  <si>
    <t>01064355166</t>
  </si>
  <si>
    <t>경기도 수원시 영통구 영통로290번길 843동 1504호</t>
  </si>
  <si>
    <t>국민은행 91122073158 김세연</t>
  </si>
  <si>
    <t>9511222158811</t>
  </si>
  <si>
    <t>한채윤</t>
  </si>
  <si>
    <t>01035469764</t>
  </si>
  <si>
    <t>서울특별시 동작구 산도동 298-26 로얄캐슬 301호</t>
  </si>
  <si>
    <t xml:space="preserve">토스 100103835074 한채윤 </t>
  </si>
  <si>
    <t>9706242067012</t>
  </si>
  <si>
    <t>나영화</t>
  </si>
  <si>
    <t>01073274865</t>
  </si>
  <si>
    <t>전라남도 목포시 양을마을로 21 1층</t>
  </si>
  <si>
    <t xml:space="preserve">국민 92030201231701 나영화 </t>
  </si>
  <si>
    <t>9012142667418</t>
  </si>
  <si>
    <t>01049314500</t>
  </si>
  <si>
    <t>부산광역시 부산진구 동평로 409 양정동, 백조아파트 3-509</t>
  </si>
  <si>
    <t>윤진희</t>
  </si>
  <si>
    <t>01033169495</t>
  </si>
  <si>
    <t>부산광역시 동래구 명륜로 151 102-902</t>
  </si>
  <si>
    <t>우리은행 21308005096 윤진희</t>
  </si>
  <si>
    <t>9311112105613</t>
  </si>
  <si>
    <t>9,800</t>
  </si>
  <si>
    <t>성민석</t>
  </si>
  <si>
    <t>01099794167</t>
  </si>
  <si>
    <t>서울특별시 구로구 천왕동 278 이펜하우스 3단지 307동 805호</t>
  </si>
  <si>
    <t>카카오뱅크3333269096627 성민석</t>
  </si>
  <si>
    <t>8511061178417</t>
  </si>
  <si>
    <t>동혜란</t>
  </si>
  <si>
    <t>01085863789</t>
  </si>
  <si>
    <t>서울특별시 상계동 720 상계주공6단지아파트 612-804</t>
  </si>
  <si>
    <t>우리 1002749886997 동혜란</t>
  </si>
  <si>
    <t>8802202019030</t>
  </si>
  <si>
    <t>남궁진</t>
  </si>
  <si>
    <t>01022848719</t>
  </si>
  <si>
    <t xml:space="preserve">경기도 안양시 동안구 호계동 1297 평촌 어바인퍼스트 </t>
  </si>
  <si>
    <t>신한은행 110094180910 남궁진</t>
  </si>
  <si>
    <t>8009212394615</t>
  </si>
  <si>
    <t>박장호</t>
  </si>
  <si>
    <t>01066381255</t>
  </si>
  <si>
    <t>서울특별시 광진구 자양동 787 삼성아파트 102-1401</t>
  </si>
  <si>
    <t>국민은행 / 50610201411297 박장호</t>
  </si>
  <si>
    <t>9205091020814</t>
  </si>
  <si>
    <t>이미영</t>
  </si>
  <si>
    <t>01097338756</t>
  </si>
  <si>
    <t>전북 김제시 만경읍 화포리 118-3</t>
  </si>
  <si>
    <t>농협 352 0841 6296 33 이미영</t>
  </si>
  <si>
    <t>8510082566213</t>
  </si>
  <si>
    <t>박예은</t>
  </si>
  <si>
    <t>01020590454</t>
  </si>
  <si>
    <t>경기도 화성시 장지동 970 동탄레이크파크 자연&amp;e편한세상 3133-2201</t>
  </si>
  <si>
    <t>국민은행 78490201222794 박예은</t>
  </si>
  <si>
    <t>9504222328116</t>
  </si>
  <si>
    <t xml:space="preserve">새마을금고  9003250582037 김규리
</t>
  </si>
  <si>
    <t>김헤림</t>
  </si>
  <si>
    <t>01027567376</t>
  </si>
  <si>
    <t xml:space="preserve">서울특별시 동작구 보라매로 17길 23 현대하이츠빌라 </t>
  </si>
  <si>
    <t>카카오 3333071878056 김혜림</t>
  </si>
  <si>
    <t>9604062069914</t>
  </si>
  <si>
    <t>11,420</t>
  </si>
  <si>
    <t>김잔디</t>
  </si>
  <si>
    <t>01025514922</t>
  </si>
  <si>
    <t>대구광역시 서구 비산동 1040-5 백림주택 2층 202</t>
  </si>
  <si>
    <t xml:space="preserve">국민 61290204139002 김잔디 </t>
  </si>
  <si>
    <t>9402272683616</t>
  </si>
  <si>
    <t>01071965049</t>
  </si>
  <si>
    <t>경기도 성남시 분당구 장미로 139 202동 1704호</t>
  </si>
  <si>
    <t>90010022056521</t>
  </si>
  <si>
    <t>경기도 양주시 부흥로 1898-4 대방아파트 102동 1004호</t>
  </si>
  <si>
    <t>김은경</t>
  </si>
  <si>
    <t>01092490570</t>
  </si>
  <si>
    <t>경기도 화성시 동탄대로시범길 235 944-402</t>
  </si>
  <si>
    <t>우리은행 28205429802001 김은경</t>
  </si>
  <si>
    <t>8010272117825</t>
  </si>
  <si>
    <t xml:space="preserve">인천광역시 연수구 송도동 4-1 송고 더샵 퍼스트월드 -415 </t>
  </si>
  <si>
    <t>빅정삼</t>
  </si>
  <si>
    <t>01039924188</t>
  </si>
  <si>
    <t>부산광역시 연제구 거제동 1535 거제 미소지움아파트</t>
  </si>
  <si>
    <t>김은진</t>
  </si>
  <si>
    <t>01037925552</t>
  </si>
  <si>
    <t>경상북도 구미시 옥계북로 33 옥걔동</t>
  </si>
  <si>
    <t xml:space="preserve">신한 110 215 352523 김은진 </t>
  </si>
  <si>
    <t>8509292697116</t>
  </si>
  <si>
    <t>이우정</t>
  </si>
  <si>
    <t>01046694148</t>
  </si>
  <si>
    <t>서울특별시 양천구 오목로 55 신월동 102-1701</t>
  </si>
  <si>
    <t>우리은행 / 1002029819531 / 이우정</t>
  </si>
  <si>
    <t>9403232254410</t>
  </si>
  <si>
    <t>안효남</t>
  </si>
  <si>
    <t>01036438117</t>
  </si>
  <si>
    <t>경기도 의정부시 호원동 461 신일 유토빌 플러스 아파트</t>
  </si>
  <si>
    <t>농협 21706852050688 안효남</t>
  </si>
  <si>
    <t>5907301048018</t>
  </si>
  <si>
    <t>진하영</t>
  </si>
  <si>
    <t>01094811061</t>
  </si>
  <si>
    <t>농협 3020039917841 진하영</t>
  </si>
  <si>
    <t>9012062150316</t>
  </si>
  <si>
    <t>01092128607</t>
  </si>
  <si>
    <t>배연수</t>
  </si>
  <si>
    <t>01034665251</t>
  </si>
  <si>
    <t>카카오뱅크 3333065217171 배연수</t>
  </si>
  <si>
    <t>9606182170217</t>
  </si>
  <si>
    <t>01024451946</t>
  </si>
  <si>
    <t>최성식</t>
  </si>
  <si>
    <t>01058253299</t>
  </si>
  <si>
    <t>기업은행 01058253299 최성식</t>
  </si>
  <si>
    <t>8703211068311</t>
  </si>
  <si>
    <t>김보름</t>
  </si>
  <si>
    <t>01021301389</t>
  </si>
  <si>
    <t>하나은행 52891051656007 김보름</t>
  </si>
  <si>
    <t>9010132748213</t>
  </si>
  <si>
    <t>김신혜</t>
  </si>
  <si>
    <t>01090411926</t>
  </si>
  <si>
    <t>케이뱅크 100190950172 김신혜</t>
  </si>
  <si>
    <t>9204162533312</t>
  </si>
  <si>
    <t>01085931960</t>
  </si>
  <si>
    <t>이은지</t>
  </si>
  <si>
    <t>01082509197</t>
  </si>
  <si>
    <t xml:space="preserve">농협 3522254757273 이은지 </t>
  </si>
  <si>
    <t>9710072095510</t>
  </si>
  <si>
    <t>이영자</t>
  </si>
  <si>
    <t>01071086987</t>
  </si>
  <si>
    <t>신한110 472 907528 이영자</t>
  </si>
  <si>
    <t>4904012227219</t>
  </si>
  <si>
    <t>01037985218</t>
  </si>
  <si>
    <t xml:space="preserve"> 미래에셋대우 400868573860김서하 </t>
  </si>
  <si>
    <t>한다은</t>
  </si>
  <si>
    <t>01047328007</t>
  </si>
  <si>
    <t>하나은행 34689109872207 한다은</t>
  </si>
  <si>
    <t>9310132020314</t>
  </si>
  <si>
    <t>01065851959</t>
  </si>
  <si>
    <t>카카오뱅크/3333203024051/김미선</t>
  </si>
  <si>
    <t>9103052526518</t>
  </si>
  <si>
    <t>박유현</t>
  </si>
  <si>
    <t xml:space="preserve">카카오뱅크3333250847384 박유현 </t>
  </si>
  <si>
    <t>0410294555117</t>
  </si>
  <si>
    <t>01033232364</t>
  </si>
  <si>
    <t>채민</t>
  </si>
  <si>
    <t>01040794660</t>
  </si>
  <si>
    <t xml:space="preserve">카카오뱅크 3333085952229 채민 </t>
  </si>
  <si>
    <t>8405152124221</t>
  </si>
  <si>
    <t>김주이</t>
  </si>
  <si>
    <t>01027676054</t>
  </si>
  <si>
    <t>카카오뱅크/3333194219388/김주이</t>
  </si>
  <si>
    <t>9309152105519</t>
  </si>
  <si>
    <t>고은주</t>
  </si>
  <si>
    <t>01046080279</t>
  </si>
  <si>
    <t xml:space="preserve">카카오뱅크 3333 11 9967409고은주 </t>
  </si>
  <si>
    <t>7906172624029</t>
  </si>
  <si>
    <t>박희정</t>
  </si>
  <si>
    <t>01046472297</t>
  </si>
  <si>
    <t>농협 352 1648 0244 03 박희정</t>
  </si>
  <si>
    <t>7711262646511</t>
  </si>
  <si>
    <t>박혜경</t>
  </si>
  <si>
    <t>01029273722</t>
  </si>
  <si>
    <t>농협20303856138478박혜경</t>
  </si>
  <si>
    <t>7410202384110</t>
  </si>
  <si>
    <t>최연지</t>
  </si>
  <si>
    <t>01087670511</t>
  </si>
  <si>
    <t>하나은행/62791029466207/최연지</t>
  </si>
  <si>
    <t>9902192748215</t>
  </si>
  <si>
    <t>김초롱</t>
  </si>
  <si>
    <t>01044048198</t>
  </si>
  <si>
    <t>농협은행 3024404819811 김초롱</t>
  </si>
  <si>
    <t>9111022860634</t>
  </si>
  <si>
    <t>이지윤</t>
  </si>
  <si>
    <t>01034760964</t>
  </si>
  <si>
    <t xml:space="preserve">국민 029211020475 이지윤 </t>
  </si>
  <si>
    <t>6803232066616</t>
  </si>
  <si>
    <t>송용선</t>
  </si>
  <si>
    <t>01095803977</t>
  </si>
  <si>
    <t>카카오뱅크 3333293134944 송용선</t>
  </si>
  <si>
    <t>5201051140514</t>
  </si>
  <si>
    <t>서동윽</t>
  </si>
  <si>
    <t>01082019005</t>
  </si>
  <si>
    <t>SC제일은행/51920189322/서동욱</t>
  </si>
  <si>
    <t>8610061095219</t>
  </si>
  <si>
    <t>하승명</t>
  </si>
  <si>
    <t>00139092178</t>
  </si>
  <si>
    <t>우리은행/1002831463697/하승명</t>
  </si>
  <si>
    <t>8701202058721</t>
  </si>
  <si>
    <t>정설</t>
  </si>
  <si>
    <t>01086665422</t>
  </si>
  <si>
    <t xml:space="preserve">농협 3520169339623 정설 </t>
  </si>
  <si>
    <t>9102142646116</t>
  </si>
  <si>
    <t>김소망</t>
  </si>
  <si>
    <t>01055210923</t>
  </si>
  <si>
    <t>카카오뱅크/3333268065188/김소망</t>
  </si>
  <si>
    <t>9109232010025</t>
  </si>
  <si>
    <t>정인영</t>
  </si>
  <si>
    <t>01089590648</t>
  </si>
  <si>
    <t>신한은행/110382278627/정인영</t>
  </si>
  <si>
    <t>9106122685116</t>
  </si>
  <si>
    <t>김우리</t>
  </si>
  <si>
    <t>01088977664</t>
  </si>
  <si>
    <t>카카오뱅크 3333084157316  김우리</t>
  </si>
  <si>
    <t>8507122566816</t>
  </si>
  <si>
    <t>임혜영</t>
  </si>
  <si>
    <t>01076474910</t>
  </si>
  <si>
    <t xml:space="preserve">국민은핸 69630101449600 임혜영 </t>
  </si>
  <si>
    <t>9510122152519</t>
  </si>
  <si>
    <t>김두리</t>
  </si>
  <si>
    <t>01071227664</t>
  </si>
  <si>
    <t>신한은행 110323862353 김두리</t>
  </si>
  <si>
    <t>8507122566821</t>
  </si>
  <si>
    <t>01042250911</t>
  </si>
  <si>
    <t>토스뱅크 100120516751 박민지</t>
  </si>
  <si>
    <t>9405132865914</t>
  </si>
  <si>
    <t>김세빈</t>
  </si>
  <si>
    <t>01057713897</t>
  </si>
  <si>
    <t>카카오뱅크/3333319134668김세빈</t>
  </si>
  <si>
    <t>9204021066810</t>
  </si>
  <si>
    <t>진광모</t>
  </si>
  <si>
    <t>01051051934</t>
  </si>
  <si>
    <t>우리은행 51205557102102 진광모</t>
  </si>
  <si>
    <t>8808061155711</t>
  </si>
  <si>
    <t>01090735211</t>
  </si>
  <si>
    <t>네이버_라면깡</t>
  </si>
  <si>
    <t>정미선</t>
  </si>
  <si>
    <t>01093691024</t>
  </si>
  <si>
    <t>서울특별시 강남구 봉은사로51길 24 202호(논현동, 논현동빌라)</t>
  </si>
  <si>
    <t>신한은행 110409182743 정미선</t>
  </si>
  <si>
    <t>7510242047420</t>
  </si>
  <si>
    <t>안슬기</t>
  </si>
  <si>
    <t>01021908663</t>
  </si>
  <si>
    <t>서울특별시 도봉구 해등로 242-11 (쌍문동, 성원아파트) 105-1204</t>
  </si>
  <si>
    <t>신한은행/110332369333/안슬기</t>
  </si>
  <si>
    <t>9010242080512</t>
  </si>
  <si>
    <t>정수경</t>
  </si>
  <si>
    <t>01056321321</t>
  </si>
  <si>
    <t>경기도 성남시 중원구 마지로163번길 13(하대원동, 가나아파트) 101-401</t>
  </si>
  <si>
    <t xml:space="preserve">국민은행 79660204088044 정수경 </t>
  </si>
  <si>
    <t>9202252032316</t>
  </si>
  <si>
    <t>경기도 성남시 수정로 219 산성포레스티아 128-2201</t>
  </si>
  <si>
    <t>국민 49030204100549 박수지</t>
  </si>
  <si>
    <t>염혜빈</t>
  </si>
  <si>
    <t>01068110224</t>
  </si>
  <si>
    <t>강원도 강릉시 강릉대로 250 4층</t>
  </si>
  <si>
    <t xml:space="preserve">신한은행110323704595염혜빈 </t>
  </si>
  <si>
    <t>9302242726815</t>
  </si>
  <si>
    <t>이재준</t>
  </si>
  <si>
    <t>01088784868</t>
  </si>
  <si>
    <t>경북 구미시 고아읍 신원대로 7-60 104동 1403호</t>
  </si>
  <si>
    <t>카카오뱅크 3333014806252 이재준</t>
  </si>
  <si>
    <t>8707271030611</t>
  </si>
  <si>
    <t>김명인</t>
  </si>
  <si>
    <t>01075315473</t>
  </si>
  <si>
    <t>경기도 평택시 지제동삭1로 41 110-1404(지제동,지제역 더샵)</t>
  </si>
  <si>
    <t>카카오뱅크  3333313851387김명인</t>
  </si>
  <si>
    <t>7502282334718</t>
  </si>
  <si>
    <t>01062396234</t>
  </si>
  <si>
    <t xml:space="preserve">전라북도 김제시 서흥공단2길 89 </t>
  </si>
  <si>
    <t>국민 42660101197061</t>
  </si>
  <si>
    <t>8809042010210</t>
  </si>
  <si>
    <t>01090540245</t>
  </si>
  <si>
    <t>경기도 성남시 성남대로 126</t>
  </si>
  <si>
    <t>김이영</t>
  </si>
  <si>
    <t>01065462767</t>
  </si>
  <si>
    <t>경기도 고양시 덕양구 세솔로 25 2216동 1203</t>
  </si>
  <si>
    <t>하나  29189061725207 김이영</t>
  </si>
  <si>
    <t>8508242852213</t>
  </si>
  <si>
    <t>01039116123</t>
  </si>
  <si>
    <t>경기도 성남시 수정구 양지동 301번지 2층</t>
  </si>
  <si>
    <t>250912</t>
  </si>
  <si>
    <t>250906</t>
  </si>
  <si>
    <t>250915</t>
  </si>
  <si>
    <t>250922</t>
  </si>
  <si>
    <t>250924</t>
  </si>
  <si>
    <t>250929</t>
  </si>
  <si>
    <t>이천햅쌀식혜, 홀릭소스_쌈장</t>
  </si>
  <si>
    <t>250926</t>
  </si>
  <si>
    <t>이천햅쌀식혜, 홀릭소스_고추장</t>
  </si>
  <si>
    <t>이천햅쌀식혜, 이천햅쌀식혜</t>
  </si>
  <si>
    <t>이천햅쌀식혜, 홀릭소스_BBQ</t>
  </si>
  <si>
    <t>이천햅쌀식혜, 라면깡_오리지널</t>
  </si>
  <si>
    <t>이천햅쌀식혜, 이천햅쌀식혜, 이천햅쌀식혜, 홀릭소스_BBQ, 홀릭소스_쌈장, 홀릭소스_고추장</t>
  </si>
  <si>
    <t>이천햅쌀식혜, 라면깡-스파이시</t>
  </si>
  <si>
    <t>이천햅쌀식혜, 홀릭소스, 홀릭소스_쌈장, 홀릭소스_쌈장, 홀릭소스_고추장</t>
  </si>
  <si>
    <t>이천햅쌀식혜, 이천햅쌀식혜, 라면깡_오리지널, 라면깡_오리지널, 라면깡-스파이시</t>
  </si>
  <si>
    <t>홀릭소스_BBQ, 라면깡_오리지널</t>
  </si>
  <si>
    <t>250918</t>
  </si>
  <si>
    <t>홀릭소스_BBQ, 홀릭소스_BBQ</t>
  </si>
  <si>
    <t>250909</t>
  </si>
  <si>
    <t>홀릭소스_쌈장, 라면깡-스파이시</t>
  </si>
  <si>
    <t>홀릭소스_쌈장, 홀릭소스_고추장, 디오니_스콜쳐</t>
  </si>
  <si>
    <t>250919</t>
  </si>
  <si>
    <t>홀릭소스_고추장, 디오니_스콜쳐</t>
  </si>
  <si>
    <t>홀릭소스_고추장, 홀릭소스_고추장, 라면깡-스파이시</t>
  </si>
  <si>
    <t>디오니_스콜쳐, 네이버_라면깡</t>
  </si>
  <si>
    <t>250902</t>
  </si>
  <si>
    <t>디오니_스콜쳐, 라면깡-스파이시</t>
  </si>
  <si>
    <t>250923</t>
  </si>
  <si>
    <t>라면깡_오리지널, 라면깡-스파이시</t>
  </si>
  <si>
    <t>라면깡_오리지널, 네이버_라면깡</t>
  </si>
  <si>
    <t>250903</t>
  </si>
  <si>
    <t>라면깡_오리지널, 라면깡-스파이시, 네이버_라면깡, 네이버_라면깡, 네이버_라면깡</t>
  </si>
  <si>
    <t>라면깡-스파이시, 라면깡-스파이시</t>
  </si>
  <si>
    <t>라면깡-스파이시</t>
    <phoneticPr fontId="2" type="noConversion"/>
  </si>
  <si>
    <t>이천햅쌀식혜, 라면깡-스파이시</t>
    <phoneticPr fontId="2" type="noConversion"/>
  </si>
  <si>
    <t>입금완료_250906</t>
    <phoneticPr fontId="2" type="noConversion"/>
  </si>
  <si>
    <t>입금완료_250929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</si>
</sst>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A500"/>
        <bgColor rgb="FFFFA500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0" fontId="0" fillId="2" borderId="0" xfId="0" applyFill="1"/>
    <xf numFmtId="0" fontId="3" fillId="3" borderId="0" xfId="1" applyAlignment="1"/>
  </cellXfs>
  <cellStyles count="2">
    <cellStyle name="보통" xfId="1" builtinId="28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4"/>
  <sheetViews>
    <sheetView topLeftCell="A76" workbookViewId="0">
      <selection activeCell="E110" sqref="E110"/>
    </sheetView>
  </sheetViews>
  <sheetFormatPr defaultRowHeight="16.5" x14ac:dyDescent="0.3"/>
  <cols>
    <col min="1" max="6" width="13" customWidth="1"/>
    <col min="7" max="7" width="9" style="4" customWidth="1"/>
    <col min="8" max="12" width="13" customWidth="1"/>
  </cols>
  <sheetData>
    <row r="1" spans="1:12" x14ac:dyDescent="0.3">
      <c r="A1" s="1">
        <v>4</v>
      </c>
      <c r="B1" s="1">
        <v>5</v>
      </c>
      <c r="C1" s="1">
        <v>6</v>
      </c>
      <c r="D1" s="1">
        <v>7</v>
      </c>
      <c r="E1" s="1">
        <v>8</v>
      </c>
      <c r="F1" s="1">
        <v>9</v>
      </c>
      <c r="G1" s="3">
        <v>10</v>
      </c>
      <c r="H1" s="1">
        <v>15</v>
      </c>
      <c r="I1" s="1">
        <v>16</v>
      </c>
      <c r="J1" s="1">
        <v>17</v>
      </c>
      <c r="K1" s="1">
        <v>18</v>
      </c>
      <c r="L1" s="1">
        <v>19</v>
      </c>
    </row>
    <row r="2" spans="1:12" x14ac:dyDescent="0.3">
      <c r="A2" t="s">
        <v>0</v>
      </c>
      <c r="B2" t="s">
        <v>1</v>
      </c>
      <c r="E2" t="s">
        <v>2</v>
      </c>
      <c r="F2" s="2" t="s">
        <v>3</v>
      </c>
      <c r="G2" s="4" t="s">
        <v>4</v>
      </c>
      <c r="H2" t="s">
        <v>5</v>
      </c>
    </row>
    <row r="3" spans="1:12" x14ac:dyDescent="0.3">
      <c r="A3" t="s">
        <v>0</v>
      </c>
      <c r="B3" t="s">
        <v>6</v>
      </c>
      <c r="E3" t="s">
        <v>7</v>
      </c>
      <c r="F3" s="2" t="s">
        <v>8</v>
      </c>
      <c r="G3" s="4" t="s">
        <v>4</v>
      </c>
      <c r="H3" t="s">
        <v>5</v>
      </c>
    </row>
    <row r="4" spans="1:12" x14ac:dyDescent="0.3">
      <c r="A4" t="s">
        <v>0</v>
      </c>
      <c r="B4" t="s">
        <v>9</v>
      </c>
      <c r="E4" t="s">
        <v>10</v>
      </c>
      <c r="F4" s="2" t="s">
        <v>11</v>
      </c>
      <c r="G4" s="4" t="s">
        <v>4</v>
      </c>
      <c r="H4" t="s">
        <v>5</v>
      </c>
    </row>
    <row r="5" spans="1:12" x14ac:dyDescent="0.3">
      <c r="A5" t="s">
        <v>12</v>
      </c>
      <c r="B5" t="s">
        <v>13</v>
      </c>
      <c r="E5" t="s">
        <v>14</v>
      </c>
      <c r="F5" s="2"/>
      <c r="G5" s="4" t="s">
        <v>15</v>
      </c>
      <c r="H5" t="s">
        <v>16</v>
      </c>
    </row>
    <row r="6" spans="1:12" x14ac:dyDescent="0.3">
      <c r="A6" t="s">
        <v>17</v>
      </c>
      <c r="B6" t="s">
        <v>18</v>
      </c>
      <c r="E6" t="s">
        <v>19</v>
      </c>
      <c r="F6" s="2" t="s">
        <v>20</v>
      </c>
      <c r="G6" s="4" t="s">
        <v>21</v>
      </c>
      <c r="H6" t="s">
        <v>1080</v>
      </c>
    </row>
    <row r="7" spans="1:12" x14ac:dyDescent="0.3">
      <c r="A7" t="s">
        <v>22</v>
      </c>
      <c r="B7" t="s">
        <v>23</v>
      </c>
      <c r="E7" t="s">
        <v>24</v>
      </c>
      <c r="F7" s="2"/>
      <c r="G7" s="4" t="s">
        <v>25</v>
      </c>
      <c r="H7" t="s">
        <v>5</v>
      </c>
    </row>
    <row r="8" spans="1:12" x14ac:dyDescent="0.3">
      <c r="A8" t="s">
        <v>17</v>
      </c>
      <c r="B8" t="s">
        <v>26</v>
      </c>
      <c r="C8" t="s">
        <v>27</v>
      </c>
      <c r="E8" t="s">
        <v>28</v>
      </c>
      <c r="F8" s="2" t="s">
        <v>29</v>
      </c>
      <c r="G8" s="4" t="s">
        <v>30</v>
      </c>
      <c r="H8" t="s">
        <v>31</v>
      </c>
      <c r="K8" t="s">
        <v>32</v>
      </c>
      <c r="L8" t="s">
        <v>30</v>
      </c>
    </row>
    <row r="9" spans="1:12" x14ac:dyDescent="0.3">
      <c r="A9" t="s">
        <v>33</v>
      </c>
      <c r="B9" t="s">
        <v>34</v>
      </c>
      <c r="E9" t="s">
        <v>35</v>
      </c>
      <c r="F9" s="2" t="s">
        <v>36</v>
      </c>
      <c r="G9" s="4" t="s">
        <v>30</v>
      </c>
      <c r="H9" t="s">
        <v>37</v>
      </c>
      <c r="K9" t="s">
        <v>32</v>
      </c>
      <c r="L9" t="s">
        <v>30</v>
      </c>
    </row>
    <row r="10" spans="1:12" x14ac:dyDescent="0.3">
      <c r="A10" t="s">
        <v>38</v>
      </c>
      <c r="B10" t="s">
        <v>39</v>
      </c>
      <c r="E10" t="s">
        <v>40</v>
      </c>
      <c r="F10" s="2" t="s">
        <v>41</v>
      </c>
      <c r="G10" s="4" t="s">
        <v>42</v>
      </c>
      <c r="H10" t="s">
        <v>43</v>
      </c>
    </row>
    <row r="11" spans="1:12" x14ac:dyDescent="0.3">
      <c r="A11" t="s">
        <v>44</v>
      </c>
      <c r="B11" t="s">
        <v>45</v>
      </c>
      <c r="C11" t="s">
        <v>46</v>
      </c>
      <c r="E11" t="s">
        <v>47</v>
      </c>
      <c r="F11" s="2" t="s">
        <v>48</v>
      </c>
      <c r="G11" s="4" t="s">
        <v>49</v>
      </c>
      <c r="H11" t="s">
        <v>50</v>
      </c>
    </row>
    <row r="12" spans="1:12" x14ac:dyDescent="0.3">
      <c r="A12" t="s">
        <v>44</v>
      </c>
      <c r="B12" t="s">
        <v>51</v>
      </c>
      <c r="C12" t="s">
        <v>52</v>
      </c>
      <c r="E12" t="s">
        <v>53</v>
      </c>
      <c r="F12" s="2" t="s">
        <v>54</v>
      </c>
      <c r="G12" s="4" t="s">
        <v>49</v>
      </c>
      <c r="H12" t="s">
        <v>50</v>
      </c>
    </row>
    <row r="13" spans="1:12" x14ac:dyDescent="0.3">
      <c r="A13" t="s">
        <v>44</v>
      </c>
      <c r="B13" t="s">
        <v>55</v>
      </c>
      <c r="C13" t="s">
        <v>56</v>
      </c>
      <c r="F13" s="2" t="s">
        <v>57</v>
      </c>
      <c r="G13" s="4" t="s">
        <v>49</v>
      </c>
      <c r="H13" t="s">
        <v>58</v>
      </c>
    </row>
    <row r="14" spans="1:12" x14ac:dyDescent="0.3">
      <c r="A14" t="s">
        <v>44</v>
      </c>
      <c r="B14" t="s">
        <v>59</v>
      </c>
      <c r="C14" t="s">
        <v>60</v>
      </c>
      <c r="E14" t="s">
        <v>61</v>
      </c>
      <c r="F14" s="2" t="s">
        <v>62</v>
      </c>
      <c r="G14" s="4" t="s">
        <v>49</v>
      </c>
      <c r="H14" t="s">
        <v>50</v>
      </c>
    </row>
    <row r="15" spans="1:12" x14ac:dyDescent="0.3">
      <c r="A15" t="s">
        <v>44</v>
      </c>
      <c r="B15" t="s">
        <v>63</v>
      </c>
      <c r="C15" t="s">
        <v>64</v>
      </c>
      <c r="E15" t="s">
        <v>65</v>
      </c>
      <c r="F15" s="2" t="s">
        <v>66</v>
      </c>
      <c r="G15" s="4" t="s">
        <v>49</v>
      </c>
      <c r="H15" t="s">
        <v>50</v>
      </c>
    </row>
    <row r="16" spans="1:12" x14ac:dyDescent="0.3">
      <c r="A16" t="s">
        <v>44</v>
      </c>
      <c r="B16" t="s">
        <v>67</v>
      </c>
      <c r="C16" t="s">
        <v>68</v>
      </c>
      <c r="E16" t="s">
        <v>69</v>
      </c>
      <c r="F16" s="2" t="s">
        <v>70</v>
      </c>
      <c r="G16" s="4" t="s">
        <v>49</v>
      </c>
      <c r="H16" t="s">
        <v>50</v>
      </c>
    </row>
    <row r="17" spans="1:8" x14ac:dyDescent="0.3">
      <c r="A17" t="s">
        <v>44</v>
      </c>
      <c r="B17" t="s">
        <v>71</v>
      </c>
      <c r="C17" t="s">
        <v>72</v>
      </c>
      <c r="E17" t="s">
        <v>73</v>
      </c>
      <c r="F17" s="2" t="s">
        <v>74</v>
      </c>
      <c r="G17" s="4" t="s">
        <v>49</v>
      </c>
      <c r="H17" t="s">
        <v>50</v>
      </c>
    </row>
    <row r="18" spans="1:8" x14ac:dyDescent="0.3">
      <c r="A18" t="s">
        <v>44</v>
      </c>
      <c r="B18" t="s">
        <v>75</v>
      </c>
      <c r="C18" t="s">
        <v>76</v>
      </c>
      <c r="E18" t="s">
        <v>77</v>
      </c>
      <c r="F18" s="2" t="s">
        <v>78</v>
      </c>
      <c r="G18" s="4" t="s">
        <v>49</v>
      </c>
      <c r="H18" t="s">
        <v>58</v>
      </c>
    </row>
    <row r="19" spans="1:8" x14ac:dyDescent="0.3">
      <c r="A19" t="s">
        <v>44</v>
      </c>
      <c r="B19" t="s">
        <v>79</v>
      </c>
      <c r="C19" t="s">
        <v>80</v>
      </c>
      <c r="E19" t="s">
        <v>81</v>
      </c>
      <c r="F19" s="2" t="s">
        <v>82</v>
      </c>
      <c r="G19" s="4" t="s">
        <v>49</v>
      </c>
      <c r="H19" t="s">
        <v>58</v>
      </c>
    </row>
    <row r="20" spans="1:8" x14ac:dyDescent="0.3">
      <c r="A20" t="s">
        <v>44</v>
      </c>
      <c r="B20" t="s">
        <v>83</v>
      </c>
      <c r="C20" t="s">
        <v>84</v>
      </c>
      <c r="E20" t="s">
        <v>85</v>
      </c>
      <c r="F20" s="2" t="s">
        <v>86</v>
      </c>
      <c r="G20" s="4" t="s">
        <v>49</v>
      </c>
      <c r="H20" t="s">
        <v>50</v>
      </c>
    </row>
    <row r="21" spans="1:8" x14ac:dyDescent="0.3">
      <c r="A21" t="s">
        <v>44</v>
      </c>
      <c r="B21" t="s">
        <v>87</v>
      </c>
      <c r="C21" t="s">
        <v>88</v>
      </c>
      <c r="E21" t="s">
        <v>89</v>
      </c>
      <c r="F21" s="2" t="s">
        <v>90</v>
      </c>
      <c r="G21" s="4" t="s">
        <v>49</v>
      </c>
      <c r="H21" t="s">
        <v>50</v>
      </c>
    </row>
    <row r="22" spans="1:8" x14ac:dyDescent="0.3">
      <c r="A22" t="s">
        <v>44</v>
      </c>
      <c r="B22" t="s">
        <v>91</v>
      </c>
      <c r="C22" t="s">
        <v>92</v>
      </c>
      <c r="E22" t="s">
        <v>93</v>
      </c>
      <c r="F22" s="2" t="s">
        <v>94</v>
      </c>
      <c r="G22" s="4" t="s">
        <v>49</v>
      </c>
      <c r="H22" t="s">
        <v>50</v>
      </c>
    </row>
    <row r="23" spans="1:8" x14ac:dyDescent="0.3">
      <c r="A23" t="s">
        <v>44</v>
      </c>
      <c r="B23" t="s">
        <v>83</v>
      </c>
      <c r="C23" t="s">
        <v>95</v>
      </c>
      <c r="E23" t="s">
        <v>85</v>
      </c>
      <c r="F23" s="2" t="s">
        <v>86</v>
      </c>
      <c r="G23" s="4" t="s">
        <v>49</v>
      </c>
      <c r="H23" t="s">
        <v>1081</v>
      </c>
    </row>
    <row r="24" spans="1:8" x14ac:dyDescent="0.3">
      <c r="A24" t="s">
        <v>44</v>
      </c>
      <c r="B24" t="s">
        <v>96</v>
      </c>
      <c r="C24" t="s">
        <v>97</v>
      </c>
      <c r="E24" t="s">
        <v>98</v>
      </c>
      <c r="F24" s="2" t="s">
        <v>99</v>
      </c>
      <c r="G24" s="4" t="s">
        <v>49</v>
      </c>
      <c r="H24" t="s">
        <v>50</v>
      </c>
    </row>
    <row r="25" spans="1:8" x14ac:dyDescent="0.3">
      <c r="A25" t="s">
        <v>44</v>
      </c>
      <c r="B25" t="s">
        <v>100</v>
      </c>
      <c r="C25" t="s">
        <v>101</v>
      </c>
      <c r="E25" t="s">
        <v>102</v>
      </c>
      <c r="F25" s="2" t="s">
        <v>103</v>
      </c>
      <c r="G25" s="4" t="s">
        <v>49</v>
      </c>
      <c r="H25" t="s">
        <v>58</v>
      </c>
    </row>
    <row r="26" spans="1:8" x14ac:dyDescent="0.3">
      <c r="A26" t="s">
        <v>44</v>
      </c>
      <c r="B26" t="s">
        <v>100</v>
      </c>
      <c r="C26" t="s">
        <v>104</v>
      </c>
      <c r="E26" t="s">
        <v>102</v>
      </c>
      <c r="F26" s="2" t="s">
        <v>103</v>
      </c>
      <c r="G26" s="4" t="s">
        <v>49</v>
      </c>
      <c r="H26" t="s">
        <v>58</v>
      </c>
    </row>
    <row r="27" spans="1:8" x14ac:dyDescent="0.3">
      <c r="A27" t="s">
        <v>44</v>
      </c>
      <c r="B27" t="s">
        <v>100</v>
      </c>
      <c r="C27" t="s">
        <v>101</v>
      </c>
      <c r="E27" t="s">
        <v>102</v>
      </c>
      <c r="F27" s="2" t="s">
        <v>103</v>
      </c>
      <c r="G27" s="4" t="s">
        <v>49</v>
      </c>
      <c r="H27" t="s">
        <v>58</v>
      </c>
    </row>
    <row r="28" spans="1:8" x14ac:dyDescent="0.3">
      <c r="A28" t="s">
        <v>44</v>
      </c>
      <c r="B28" t="s">
        <v>105</v>
      </c>
      <c r="C28" t="s">
        <v>106</v>
      </c>
      <c r="E28" t="s">
        <v>107</v>
      </c>
      <c r="F28" s="2" t="s">
        <v>108</v>
      </c>
      <c r="G28" s="4" t="s">
        <v>49</v>
      </c>
      <c r="H28" t="s">
        <v>50</v>
      </c>
    </row>
    <row r="29" spans="1:8" x14ac:dyDescent="0.3">
      <c r="A29" t="s">
        <v>44</v>
      </c>
      <c r="B29" t="s">
        <v>109</v>
      </c>
      <c r="C29" t="s">
        <v>110</v>
      </c>
      <c r="E29" t="s">
        <v>111</v>
      </c>
      <c r="F29" s="2" t="s">
        <v>112</v>
      </c>
      <c r="G29" s="4" t="s">
        <v>49</v>
      </c>
      <c r="H29" t="s">
        <v>58</v>
      </c>
    </row>
    <row r="30" spans="1:8" x14ac:dyDescent="0.3">
      <c r="A30" t="s">
        <v>44</v>
      </c>
      <c r="B30" t="s">
        <v>113</v>
      </c>
      <c r="C30" t="s">
        <v>114</v>
      </c>
      <c r="E30" t="s">
        <v>115</v>
      </c>
      <c r="F30" s="2" t="s">
        <v>116</v>
      </c>
      <c r="G30" s="4" t="s">
        <v>49</v>
      </c>
      <c r="H30" t="s">
        <v>50</v>
      </c>
    </row>
    <row r="31" spans="1:8" x14ac:dyDescent="0.3">
      <c r="A31" t="s">
        <v>44</v>
      </c>
      <c r="B31" t="s">
        <v>117</v>
      </c>
      <c r="C31" t="s">
        <v>118</v>
      </c>
      <c r="E31" t="s">
        <v>119</v>
      </c>
      <c r="F31" s="2" t="s">
        <v>120</v>
      </c>
      <c r="G31" s="4" t="s">
        <v>49</v>
      </c>
      <c r="H31" t="s">
        <v>58</v>
      </c>
    </row>
    <row r="32" spans="1:8" x14ac:dyDescent="0.3">
      <c r="A32" t="s">
        <v>44</v>
      </c>
      <c r="B32" t="s">
        <v>121</v>
      </c>
      <c r="C32" t="s">
        <v>122</v>
      </c>
      <c r="E32" t="s">
        <v>123</v>
      </c>
      <c r="F32" s="2" t="s">
        <v>124</v>
      </c>
      <c r="G32" s="4" t="s">
        <v>49</v>
      </c>
      <c r="H32" t="s">
        <v>50</v>
      </c>
    </row>
    <row r="33" spans="1:8" x14ac:dyDescent="0.3">
      <c r="A33" t="s">
        <v>44</v>
      </c>
      <c r="B33" t="s">
        <v>125</v>
      </c>
      <c r="C33" t="s">
        <v>126</v>
      </c>
      <c r="E33" t="s">
        <v>127</v>
      </c>
      <c r="F33" s="2" t="s">
        <v>128</v>
      </c>
      <c r="G33" s="4" t="s">
        <v>49</v>
      </c>
      <c r="H33" t="s">
        <v>50</v>
      </c>
    </row>
    <row r="34" spans="1:8" x14ac:dyDescent="0.3">
      <c r="A34" t="s">
        <v>44</v>
      </c>
      <c r="B34" t="s">
        <v>129</v>
      </c>
      <c r="C34" t="s">
        <v>130</v>
      </c>
      <c r="E34" t="s">
        <v>131</v>
      </c>
      <c r="F34" s="2" t="s">
        <v>132</v>
      </c>
      <c r="G34" s="4" t="s">
        <v>49</v>
      </c>
      <c r="H34" t="s">
        <v>50</v>
      </c>
    </row>
    <row r="35" spans="1:8" x14ac:dyDescent="0.3">
      <c r="A35" t="s">
        <v>44</v>
      </c>
      <c r="B35" t="s">
        <v>133</v>
      </c>
      <c r="C35" t="s">
        <v>134</v>
      </c>
      <c r="E35" t="s">
        <v>135</v>
      </c>
      <c r="F35" s="2" t="s">
        <v>136</v>
      </c>
      <c r="G35" s="4" t="s">
        <v>49</v>
      </c>
      <c r="H35" t="s">
        <v>58</v>
      </c>
    </row>
    <row r="36" spans="1:8" x14ac:dyDescent="0.3">
      <c r="A36" t="s">
        <v>44</v>
      </c>
      <c r="B36" t="s">
        <v>137</v>
      </c>
      <c r="C36" t="s">
        <v>138</v>
      </c>
      <c r="E36" t="s">
        <v>139</v>
      </c>
      <c r="F36" s="2" t="s">
        <v>140</v>
      </c>
      <c r="G36" s="4" t="s">
        <v>49</v>
      </c>
      <c r="H36" t="s">
        <v>50</v>
      </c>
    </row>
    <row r="37" spans="1:8" x14ac:dyDescent="0.3">
      <c r="A37" t="s">
        <v>44</v>
      </c>
      <c r="B37" t="s">
        <v>141</v>
      </c>
      <c r="C37" t="s">
        <v>142</v>
      </c>
      <c r="E37" t="s">
        <v>143</v>
      </c>
      <c r="F37" s="2" t="s">
        <v>144</v>
      </c>
      <c r="G37" s="4" t="s">
        <v>49</v>
      </c>
      <c r="H37" t="s">
        <v>50</v>
      </c>
    </row>
    <row r="38" spans="1:8" x14ac:dyDescent="0.3">
      <c r="A38" t="s">
        <v>44</v>
      </c>
      <c r="B38" t="s">
        <v>145</v>
      </c>
      <c r="C38" t="s">
        <v>146</v>
      </c>
      <c r="E38" t="s">
        <v>147</v>
      </c>
      <c r="F38" s="2" t="s">
        <v>148</v>
      </c>
      <c r="G38" s="4" t="s">
        <v>49</v>
      </c>
      <c r="H38" t="s">
        <v>50</v>
      </c>
    </row>
    <row r="39" spans="1:8" x14ac:dyDescent="0.3">
      <c r="A39" t="s">
        <v>44</v>
      </c>
      <c r="B39" t="s">
        <v>149</v>
      </c>
      <c r="C39" t="s">
        <v>150</v>
      </c>
      <c r="E39" t="s">
        <v>151</v>
      </c>
      <c r="F39" s="2" t="s">
        <v>152</v>
      </c>
      <c r="G39" s="4" t="s">
        <v>49</v>
      </c>
      <c r="H39" t="s">
        <v>50</v>
      </c>
    </row>
    <row r="40" spans="1:8" x14ac:dyDescent="0.3">
      <c r="A40" t="s">
        <v>44</v>
      </c>
      <c r="B40" t="s">
        <v>153</v>
      </c>
      <c r="C40" t="s">
        <v>154</v>
      </c>
      <c r="E40" t="s">
        <v>155</v>
      </c>
      <c r="F40" s="2" t="s">
        <v>156</v>
      </c>
      <c r="G40" s="4" t="s">
        <v>49</v>
      </c>
      <c r="H40" t="s">
        <v>50</v>
      </c>
    </row>
    <row r="41" spans="1:8" x14ac:dyDescent="0.3">
      <c r="A41" t="s">
        <v>44</v>
      </c>
      <c r="B41" t="s">
        <v>157</v>
      </c>
      <c r="C41" t="s">
        <v>158</v>
      </c>
      <c r="E41" t="s">
        <v>159</v>
      </c>
      <c r="F41" s="2" t="s">
        <v>160</v>
      </c>
      <c r="G41" s="4" t="s">
        <v>49</v>
      </c>
      <c r="H41" t="s">
        <v>58</v>
      </c>
    </row>
    <row r="42" spans="1:8" x14ac:dyDescent="0.3">
      <c r="A42" t="s">
        <v>44</v>
      </c>
      <c r="B42" t="s">
        <v>161</v>
      </c>
      <c r="C42" t="s">
        <v>162</v>
      </c>
      <c r="E42" t="s">
        <v>163</v>
      </c>
      <c r="F42" s="2" t="s">
        <v>164</v>
      </c>
      <c r="G42" s="4" t="s">
        <v>49</v>
      </c>
      <c r="H42" t="s">
        <v>50</v>
      </c>
    </row>
    <row r="43" spans="1:8" x14ac:dyDescent="0.3">
      <c r="A43" t="s">
        <v>44</v>
      </c>
      <c r="B43" t="s">
        <v>165</v>
      </c>
      <c r="C43" t="s">
        <v>166</v>
      </c>
      <c r="E43" t="s">
        <v>167</v>
      </c>
      <c r="F43" s="2" t="s">
        <v>168</v>
      </c>
      <c r="G43" s="4" t="s">
        <v>49</v>
      </c>
      <c r="H43" t="s">
        <v>58</v>
      </c>
    </row>
    <row r="44" spans="1:8" x14ac:dyDescent="0.3">
      <c r="A44" t="s">
        <v>44</v>
      </c>
      <c r="B44" t="s">
        <v>169</v>
      </c>
      <c r="C44" t="s">
        <v>170</v>
      </c>
      <c r="E44" t="s">
        <v>171</v>
      </c>
      <c r="F44" s="2" t="s">
        <v>172</v>
      </c>
      <c r="G44" s="4" t="s">
        <v>49</v>
      </c>
      <c r="H44" t="s">
        <v>58</v>
      </c>
    </row>
    <row r="45" spans="1:8" x14ac:dyDescent="0.3">
      <c r="A45" t="s">
        <v>44</v>
      </c>
      <c r="B45" t="s">
        <v>173</v>
      </c>
      <c r="C45" t="s">
        <v>174</v>
      </c>
      <c r="E45" t="s">
        <v>175</v>
      </c>
      <c r="F45" s="2" t="s">
        <v>176</v>
      </c>
      <c r="G45" s="4" t="s">
        <v>49</v>
      </c>
      <c r="H45" t="s">
        <v>50</v>
      </c>
    </row>
    <row r="46" spans="1:8" x14ac:dyDescent="0.3">
      <c r="A46" t="s">
        <v>44</v>
      </c>
      <c r="B46" t="s">
        <v>177</v>
      </c>
      <c r="C46" t="s">
        <v>178</v>
      </c>
      <c r="E46" t="s">
        <v>179</v>
      </c>
      <c r="F46" s="2" t="s">
        <v>180</v>
      </c>
      <c r="G46" s="4" t="s">
        <v>49</v>
      </c>
      <c r="H46" t="s">
        <v>58</v>
      </c>
    </row>
    <row r="47" spans="1:8" x14ac:dyDescent="0.3">
      <c r="A47" t="s">
        <v>44</v>
      </c>
      <c r="B47" t="s">
        <v>181</v>
      </c>
      <c r="C47" t="s">
        <v>182</v>
      </c>
      <c r="E47" t="s">
        <v>183</v>
      </c>
      <c r="F47" s="2" t="s">
        <v>184</v>
      </c>
      <c r="G47" s="4" t="s">
        <v>49</v>
      </c>
      <c r="H47" t="s">
        <v>50</v>
      </c>
    </row>
    <row r="48" spans="1:8" x14ac:dyDescent="0.3">
      <c r="A48" t="s">
        <v>44</v>
      </c>
      <c r="B48" t="s">
        <v>185</v>
      </c>
      <c r="C48" t="s">
        <v>186</v>
      </c>
      <c r="E48" t="s">
        <v>187</v>
      </c>
      <c r="F48" s="2" t="s">
        <v>188</v>
      </c>
      <c r="G48" s="4" t="s">
        <v>49</v>
      </c>
      <c r="H48" t="s">
        <v>50</v>
      </c>
    </row>
    <row r="49" spans="1:8" x14ac:dyDescent="0.3">
      <c r="A49" t="s">
        <v>44</v>
      </c>
      <c r="B49" t="s">
        <v>189</v>
      </c>
      <c r="C49" t="s">
        <v>190</v>
      </c>
      <c r="E49" t="s">
        <v>191</v>
      </c>
      <c r="F49" s="2" t="s">
        <v>192</v>
      </c>
      <c r="G49" s="4" t="s">
        <v>49</v>
      </c>
      <c r="H49" t="s">
        <v>58</v>
      </c>
    </row>
    <row r="50" spans="1:8" x14ac:dyDescent="0.3">
      <c r="A50" t="s">
        <v>44</v>
      </c>
      <c r="B50" t="s">
        <v>193</v>
      </c>
      <c r="C50" t="s">
        <v>194</v>
      </c>
      <c r="E50" t="s">
        <v>195</v>
      </c>
      <c r="F50" s="2" t="s">
        <v>196</v>
      </c>
      <c r="G50" s="4" t="s">
        <v>49</v>
      </c>
      <c r="H50" t="s">
        <v>50</v>
      </c>
    </row>
    <row r="51" spans="1:8" x14ac:dyDescent="0.3">
      <c r="A51" t="s">
        <v>44</v>
      </c>
      <c r="B51" t="s">
        <v>197</v>
      </c>
      <c r="C51" t="s">
        <v>198</v>
      </c>
      <c r="E51" t="s">
        <v>199</v>
      </c>
      <c r="F51" s="2" t="s">
        <v>200</v>
      </c>
      <c r="G51" s="4" t="s">
        <v>49</v>
      </c>
      <c r="H51" t="s">
        <v>50</v>
      </c>
    </row>
    <row r="52" spans="1:8" x14ac:dyDescent="0.3">
      <c r="A52" t="s">
        <v>44</v>
      </c>
      <c r="B52" t="s">
        <v>201</v>
      </c>
      <c r="C52" t="s">
        <v>202</v>
      </c>
      <c r="E52" t="s">
        <v>197</v>
      </c>
      <c r="F52" s="2" t="s">
        <v>203</v>
      </c>
      <c r="G52" s="4" t="s">
        <v>49</v>
      </c>
      <c r="H52" t="s">
        <v>58</v>
      </c>
    </row>
    <row r="53" spans="1:8" x14ac:dyDescent="0.3">
      <c r="A53" t="s">
        <v>44</v>
      </c>
      <c r="B53" t="s">
        <v>204</v>
      </c>
      <c r="C53" t="s">
        <v>205</v>
      </c>
      <c r="E53" t="s">
        <v>206</v>
      </c>
      <c r="F53" s="2" t="s">
        <v>207</v>
      </c>
      <c r="G53" s="4" t="s">
        <v>49</v>
      </c>
      <c r="H53" t="s">
        <v>50</v>
      </c>
    </row>
    <row r="54" spans="1:8" x14ac:dyDescent="0.3">
      <c r="A54" t="s">
        <v>44</v>
      </c>
      <c r="B54" t="s">
        <v>208</v>
      </c>
      <c r="C54" t="s">
        <v>209</v>
      </c>
      <c r="E54" t="s">
        <v>210</v>
      </c>
      <c r="F54" s="2" t="s">
        <v>211</v>
      </c>
      <c r="G54" s="4" t="s">
        <v>49</v>
      </c>
      <c r="H54" t="s">
        <v>58</v>
      </c>
    </row>
    <row r="55" spans="1:8" x14ac:dyDescent="0.3">
      <c r="A55" t="s">
        <v>44</v>
      </c>
      <c r="B55" t="s">
        <v>212</v>
      </c>
      <c r="C55" t="s">
        <v>213</v>
      </c>
      <c r="E55" t="s">
        <v>214</v>
      </c>
      <c r="F55" s="2" t="s">
        <v>215</v>
      </c>
      <c r="G55" s="4" t="s">
        <v>49</v>
      </c>
      <c r="H55" t="s">
        <v>58</v>
      </c>
    </row>
    <row r="56" spans="1:8" x14ac:dyDescent="0.3">
      <c r="A56" t="s">
        <v>44</v>
      </c>
      <c r="B56" t="s">
        <v>216</v>
      </c>
      <c r="C56" t="s">
        <v>217</v>
      </c>
      <c r="E56" t="s">
        <v>218</v>
      </c>
      <c r="F56" s="2" t="s">
        <v>219</v>
      </c>
      <c r="G56" s="4" t="s">
        <v>49</v>
      </c>
      <c r="H56" t="s">
        <v>58</v>
      </c>
    </row>
    <row r="57" spans="1:8" x14ac:dyDescent="0.3">
      <c r="A57" t="s">
        <v>44</v>
      </c>
      <c r="B57" t="s">
        <v>220</v>
      </c>
      <c r="C57" t="s">
        <v>221</v>
      </c>
      <c r="E57" t="s">
        <v>222</v>
      </c>
      <c r="F57" s="2" t="s">
        <v>223</v>
      </c>
      <c r="G57" s="4" t="s">
        <v>49</v>
      </c>
      <c r="H57" t="s">
        <v>50</v>
      </c>
    </row>
    <row r="58" spans="1:8" x14ac:dyDescent="0.3">
      <c r="A58" t="s">
        <v>44</v>
      </c>
      <c r="B58" t="s">
        <v>224</v>
      </c>
      <c r="C58" t="s">
        <v>225</v>
      </c>
      <c r="E58" t="s">
        <v>226</v>
      </c>
      <c r="F58" s="2" t="s">
        <v>227</v>
      </c>
      <c r="G58" s="4" t="s">
        <v>49</v>
      </c>
      <c r="H58" t="s">
        <v>50</v>
      </c>
    </row>
    <row r="59" spans="1:8" x14ac:dyDescent="0.3">
      <c r="A59" t="s">
        <v>44</v>
      </c>
      <c r="B59" t="s">
        <v>228</v>
      </c>
      <c r="C59" t="s">
        <v>229</v>
      </c>
      <c r="E59" t="s">
        <v>230</v>
      </c>
      <c r="F59" s="2" t="s">
        <v>231</v>
      </c>
      <c r="G59" s="4" t="s">
        <v>49</v>
      </c>
      <c r="H59" t="s">
        <v>50</v>
      </c>
    </row>
    <row r="60" spans="1:8" x14ac:dyDescent="0.3">
      <c r="A60" t="s">
        <v>44</v>
      </c>
      <c r="B60" t="s">
        <v>232</v>
      </c>
      <c r="C60" t="s">
        <v>233</v>
      </c>
      <c r="E60" t="s">
        <v>234</v>
      </c>
      <c r="F60" s="2" t="s">
        <v>235</v>
      </c>
      <c r="G60" s="4" t="s">
        <v>49</v>
      </c>
      <c r="H60" t="s">
        <v>50</v>
      </c>
    </row>
    <row r="61" spans="1:8" x14ac:dyDescent="0.3">
      <c r="A61" t="s">
        <v>44</v>
      </c>
      <c r="B61" t="s">
        <v>236</v>
      </c>
      <c r="C61" t="s">
        <v>237</v>
      </c>
      <c r="E61" t="s">
        <v>238</v>
      </c>
      <c r="F61" s="2" t="s">
        <v>239</v>
      </c>
      <c r="G61" s="4" t="s">
        <v>49</v>
      </c>
      <c r="H61" t="s">
        <v>50</v>
      </c>
    </row>
    <row r="62" spans="1:8" x14ac:dyDescent="0.3">
      <c r="A62" t="s">
        <v>44</v>
      </c>
      <c r="B62" t="s">
        <v>232</v>
      </c>
      <c r="C62" t="s">
        <v>240</v>
      </c>
      <c r="E62" t="s">
        <v>234</v>
      </c>
      <c r="F62" s="2" t="s">
        <v>235</v>
      </c>
      <c r="G62" s="4" t="s">
        <v>49</v>
      </c>
      <c r="H62" t="s">
        <v>50</v>
      </c>
    </row>
    <row r="63" spans="1:8" x14ac:dyDescent="0.3">
      <c r="A63" t="s">
        <v>44</v>
      </c>
      <c r="B63" t="s">
        <v>241</v>
      </c>
      <c r="C63" t="s">
        <v>242</v>
      </c>
      <c r="E63" t="s">
        <v>243</v>
      </c>
      <c r="F63" s="2" t="s">
        <v>244</v>
      </c>
      <c r="G63" s="4" t="s">
        <v>49</v>
      </c>
      <c r="H63" t="s">
        <v>50</v>
      </c>
    </row>
    <row r="64" spans="1:8" x14ac:dyDescent="0.3">
      <c r="A64" t="s">
        <v>44</v>
      </c>
      <c r="B64" t="s">
        <v>245</v>
      </c>
      <c r="C64" t="s">
        <v>246</v>
      </c>
      <c r="E64" t="s">
        <v>247</v>
      </c>
      <c r="F64" s="2" t="s">
        <v>248</v>
      </c>
      <c r="G64" s="4" t="s">
        <v>49</v>
      </c>
      <c r="H64" t="s">
        <v>50</v>
      </c>
    </row>
    <row r="65" spans="1:10" x14ac:dyDescent="0.3">
      <c r="A65" t="s">
        <v>44</v>
      </c>
      <c r="B65" t="s">
        <v>249</v>
      </c>
      <c r="C65" t="s">
        <v>250</v>
      </c>
      <c r="E65" t="s">
        <v>251</v>
      </c>
      <c r="F65" s="2" t="s">
        <v>252</v>
      </c>
      <c r="G65" s="4" t="s">
        <v>49</v>
      </c>
      <c r="H65" t="s">
        <v>50</v>
      </c>
    </row>
    <row r="66" spans="1:10" x14ac:dyDescent="0.3">
      <c r="A66" t="s">
        <v>44</v>
      </c>
      <c r="B66" t="s">
        <v>253</v>
      </c>
      <c r="C66" t="s">
        <v>254</v>
      </c>
      <c r="E66" t="s">
        <v>255</v>
      </c>
      <c r="F66" s="2" t="s">
        <v>256</v>
      </c>
      <c r="G66" s="4" t="s">
        <v>49</v>
      </c>
      <c r="H66" t="s">
        <v>50</v>
      </c>
    </row>
    <row r="67" spans="1:10" x14ac:dyDescent="0.3">
      <c r="A67" t="s">
        <v>44</v>
      </c>
      <c r="B67" t="s">
        <v>257</v>
      </c>
      <c r="C67" t="s">
        <v>258</v>
      </c>
      <c r="E67" t="s">
        <v>259</v>
      </c>
      <c r="F67" s="2" t="s">
        <v>260</v>
      </c>
      <c r="G67" s="4" t="s">
        <v>49</v>
      </c>
      <c r="H67" t="s">
        <v>50</v>
      </c>
    </row>
    <row r="68" spans="1:10" x14ac:dyDescent="0.3">
      <c r="A68" t="s">
        <v>44</v>
      </c>
      <c r="B68" t="s">
        <v>261</v>
      </c>
      <c r="C68" t="s">
        <v>262</v>
      </c>
      <c r="E68" t="s">
        <v>263</v>
      </c>
      <c r="F68" s="2" t="s">
        <v>264</v>
      </c>
      <c r="G68" s="4" t="s">
        <v>49</v>
      </c>
      <c r="H68" t="s">
        <v>58</v>
      </c>
    </row>
    <row r="69" spans="1:10" x14ac:dyDescent="0.3">
      <c r="A69" t="s">
        <v>44</v>
      </c>
      <c r="B69" t="s">
        <v>265</v>
      </c>
      <c r="C69" t="s">
        <v>266</v>
      </c>
      <c r="E69" t="s">
        <v>267</v>
      </c>
      <c r="F69" s="2" t="s">
        <v>268</v>
      </c>
      <c r="G69" s="4" t="s">
        <v>49</v>
      </c>
      <c r="H69" t="s">
        <v>50</v>
      </c>
    </row>
    <row r="70" spans="1:10" x14ac:dyDescent="0.3">
      <c r="A70" t="s">
        <v>273</v>
      </c>
      <c r="B70" t="s">
        <v>157</v>
      </c>
      <c r="C70" t="s">
        <v>158</v>
      </c>
      <c r="D70" t="s">
        <v>269</v>
      </c>
      <c r="E70" t="s">
        <v>270</v>
      </c>
      <c r="F70" s="2" t="s">
        <v>160</v>
      </c>
      <c r="G70" s="4" t="s">
        <v>271</v>
      </c>
      <c r="H70" t="s">
        <v>272</v>
      </c>
    </row>
    <row r="71" spans="1:10" x14ac:dyDescent="0.3">
      <c r="A71" t="s">
        <v>273</v>
      </c>
      <c r="B71" t="s">
        <v>274</v>
      </c>
      <c r="C71" t="s">
        <v>275</v>
      </c>
      <c r="D71" t="s">
        <v>276</v>
      </c>
      <c r="E71" t="s">
        <v>277</v>
      </c>
      <c r="F71" s="2" t="s">
        <v>278</v>
      </c>
      <c r="G71" s="4" t="s">
        <v>271</v>
      </c>
      <c r="H71" t="s">
        <v>16</v>
      </c>
    </row>
    <row r="72" spans="1:10" x14ac:dyDescent="0.3">
      <c r="A72" t="s">
        <v>273</v>
      </c>
      <c r="B72" t="s">
        <v>100</v>
      </c>
      <c r="C72" t="s">
        <v>104</v>
      </c>
      <c r="D72" t="s">
        <v>279</v>
      </c>
      <c r="E72" t="s">
        <v>280</v>
      </c>
      <c r="F72" s="2" t="s">
        <v>103</v>
      </c>
      <c r="G72" s="4" t="s">
        <v>271</v>
      </c>
      <c r="H72" t="s">
        <v>272</v>
      </c>
    </row>
    <row r="73" spans="1:10" x14ac:dyDescent="0.3">
      <c r="A73" t="s">
        <v>273</v>
      </c>
      <c r="B73" t="s">
        <v>281</v>
      </c>
      <c r="C73" t="s">
        <v>282</v>
      </c>
      <c r="D73" t="s">
        <v>283</v>
      </c>
      <c r="E73" t="s">
        <v>284</v>
      </c>
      <c r="F73" s="2" t="s">
        <v>285</v>
      </c>
      <c r="G73" s="4" t="s">
        <v>271</v>
      </c>
      <c r="H73" t="s">
        <v>16</v>
      </c>
    </row>
    <row r="74" spans="1:10" x14ac:dyDescent="0.3">
      <c r="A74" t="s">
        <v>273</v>
      </c>
      <c r="B74" t="s">
        <v>286</v>
      </c>
      <c r="C74" t="s">
        <v>287</v>
      </c>
      <c r="E74" t="s">
        <v>288</v>
      </c>
      <c r="F74" s="2" t="s">
        <v>289</v>
      </c>
      <c r="G74" s="4" t="s">
        <v>271</v>
      </c>
      <c r="H74" t="s">
        <v>290</v>
      </c>
    </row>
    <row r="75" spans="1:10" x14ac:dyDescent="0.3">
      <c r="A75" t="s">
        <v>273</v>
      </c>
      <c r="B75" t="s">
        <v>291</v>
      </c>
      <c r="C75" t="s">
        <v>292</v>
      </c>
      <c r="D75" t="s">
        <v>293</v>
      </c>
      <c r="E75" t="s">
        <v>294</v>
      </c>
      <c r="F75" s="2" t="s">
        <v>295</v>
      </c>
      <c r="G75" s="4" t="s">
        <v>271</v>
      </c>
      <c r="H75" t="s">
        <v>5</v>
      </c>
    </row>
    <row r="76" spans="1:10" x14ac:dyDescent="0.3">
      <c r="A76" t="s">
        <v>273</v>
      </c>
      <c r="B76" t="s">
        <v>296</v>
      </c>
      <c r="C76" t="s">
        <v>297</v>
      </c>
      <c r="D76" t="s">
        <v>298</v>
      </c>
      <c r="E76" t="s">
        <v>299</v>
      </c>
      <c r="F76" s="2" t="s">
        <v>300</v>
      </c>
      <c r="G76" s="4" t="s">
        <v>271</v>
      </c>
      <c r="H76" t="s">
        <v>31</v>
      </c>
    </row>
    <row r="77" spans="1:10" x14ac:dyDescent="0.3">
      <c r="A77" t="s">
        <v>273</v>
      </c>
      <c r="B77" t="s">
        <v>301</v>
      </c>
      <c r="C77" t="s">
        <v>302</v>
      </c>
      <c r="D77" t="s">
        <v>303</v>
      </c>
      <c r="E77" t="s">
        <v>304</v>
      </c>
      <c r="F77" s="2" t="s">
        <v>305</v>
      </c>
      <c r="G77" s="4" t="s">
        <v>271</v>
      </c>
      <c r="H77" t="s">
        <v>5</v>
      </c>
    </row>
    <row r="78" spans="1:10" x14ac:dyDescent="0.3">
      <c r="A78" t="s">
        <v>273</v>
      </c>
      <c r="B78" t="s">
        <v>265</v>
      </c>
      <c r="C78" t="s">
        <v>266</v>
      </c>
      <c r="E78" t="s">
        <v>267</v>
      </c>
      <c r="F78" s="2" t="s">
        <v>268</v>
      </c>
      <c r="G78" s="4" t="s">
        <v>271</v>
      </c>
      <c r="H78" t="s">
        <v>290</v>
      </c>
      <c r="J78" t="s">
        <v>306</v>
      </c>
    </row>
    <row r="79" spans="1:10" x14ac:dyDescent="0.3">
      <c r="A79" t="s">
        <v>273</v>
      </c>
      <c r="B79" t="s">
        <v>137</v>
      </c>
      <c r="C79" t="s">
        <v>138</v>
      </c>
      <c r="D79" t="s">
        <v>307</v>
      </c>
      <c r="E79" t="s">
        <v>139</v>
      </c>
      <c r="F79" s="2" t="s">
        <v>140</v>
      </c>
      <c r="G79" s="4" t="s">
        <v>271</v>
      </c>
      <c r="H79" t="s">
        <v>5</v>
      </c>
    </row>
    <row r="80" spans="1:10" x14ac:dyDescent="0.3">
      <c r="A80" t="s">
        <v>273</v>
      </c>
      <c r="B80" t="s">
        <v>113</v>
      </c>
      <c r="C80" t="s">
        <v>114</v>
      </c>
      <c r="D80" t="s">
        <v>308</v>
      </c>
      <c r="E80" t="s">
        <v>309</v>
      </c>
      <c r="F80" s="2" t="s">
        <v>116</v>
      </c>
      <c r="G80" s="4" t="s">
        <v>271</v>
      </c>
      <c r="H80" t="s">
        <v>290</v>
      </c>
    </row>
    <row r="81" spans="1:8" x14ac:dyDescent="0.3">
      <c r="A81" t="s">
        <v>273</v>
      </c>
      <c r="B81" t="s">
        <v>310</v>
      </c>
      <c r="C81" t="s">
        <v>311</v>
      </c>
      <c r="D81" t="s">
        <v>312</v>
      </c>
      <c r="E81" t="s">
        <v>313</v>
      </c>
      <c r="F81" s="2" t="s">
        <v>314</v>
      </c>
      <c r="G81" s="4" t="s">
        <v>271</v>
      </c>
      <c r="H81" t="s">
        <v>31</v>
      </c>
    </row>
    <row r="82" spans="1:8" x14ac:dyDescent="0.3">
      <c r="A82" t="s">
        <v>273</v>
      </c>
      <c r="B82" t="s">
        <v>315</v>
      </c>
      <c r="C82" t="s">
        <v>316</v>
      </c>
      <c r="E82" t="s">
        <v>317</v>
      </c>
      <c r="F82" s="2" t="s">
        <v>318</v>
      </c>
      <c r="G82" s="4" t="s">
        <v>271</v>
      </c>
      <c r="H82" t="s">
        <v>5</v>
      </c>
    </row>
    <row r="83" spans="1:8" x14ac:dyDescent="0.3">
      <c r="A83" t="s">
        <v>273</v>
      </c>
      <c r="B83" t="s">
        <v>319</v>
      </c>
      <c r="C83" t="s">
        <v>320</v>
      </c>
      <c r="E83" t="s">
        <v>321</v>
      </c>
      <c r="F83" s="2" t="s">
        <v>322</v>
      </c>
      <c r="G83" s="4" t="s">
        <v>271</v>
      </c>
      <c r="H83" t="s">
        <v>5</v>
      </c>
    </row>
    <row r="84" spans="1:8" x14ac:dyDescent="0.3">
      <c r="A84" t="s">
        <v>273</v>
      </c>
      <c r="B84" t="s">
        <v>296</v>
      </c>
      <c r="C84" t="s">
        <v>297</v>
      </c>
      <c r="E84" t="s">
        <v>323</v>
      </c>
      <c r="F84" s="2" t="s">
        <v>300</v>
      </c>
      <c r="G84" s="4" t="s">
        <v>271</v>
      </c>
      <c r="H84" t="s">
        <v>5</v>
      </c>
    </row>
    <row r="85" spans="1:8" x14ac:dyDescent="0.3">
      <c r="A85" t="s">
        <v>273</v>
      </c>
      <c r="B85" t="s">
        <v>324</v>
      </c>
      <c r="C85" t="s">
        <v>325</v>
      </c>
      <c r="E85" t="s">
        <v>326</v>
      </c>
      <c r="F85" s="2" t="s">
        <v>327</v>
      </c>
      <c r="G85" s="4" t="s">
        <v>271</v>
      </c>
      <c r="H85" t="s">
        <v>58</v>
      </c>
    </row>
    <row r="86" spans="1:8" x14ac:dyDescent="0.3">
      <c r="A86" t="s">
        <v>273</v>
      </c>
      <c r="B86" t="s">
        <v>87</v>
      </c>
      <c r="C86" t="s">
        <v>88</v>
      </c>
      <c r="E86" t="s">
        <v>89</v>
      </c>
      <c r="F86" s="2" t="s">
        <v>90</v>
      </c>
      <c r="G86" s="4" t="s">
        <v>271</v>
      </c>
      <c r="H86" t="s">
        <v>328</v>
      </c>
    </row>
    <row r="87" spans="1:8" x14ac:dyDescent="0.3">
      <c r="A87" t="s">
        <v>273</v>
      </c>
      <c r="B87" t="s">
        <v>329</v>
      </c>
      <c r="C87" t="s">
        <v>330</v>
      </c>
      <c r="E87" t="s">
        <v>331</v>
      </c>
      <c r="F87" s="2" t="s">
        <v>332</v>
      </c>
      <c r="G87" s="4" t="s">
        <v>271</v>
      </c>
      <c r="H87" t="s">
        <v>50</v>
      </c>
    </row>
    <row r="88" spans="1:8" x14ac:dyDescent="0.3">
      <c r="A88" t="s">
        <v>333</v>
      </c>
      <c r="B88" t="s">
        <v>334</v>
      </c>
      <c r="C88" t="s">
        <v>335</v>
      </c>
      <c r="D88" t="s">
        <v>336</v>
      </c>
      <c r="E88" t="s">
        <v>337</v>
      </c>
      <c r="F88" s="2" t="s">
        <v>338</v>
      </c>
      <c r="G88" s="4" t="s">
        <v>271</v>
      </c>
      <c r="H88" t="s">
        <v>272</v>
      </c>
    </row>
    <row r="89" spans="1:8" x14ac:dyDescent="0.3">
      <c r="A89" t="s">
        <v>333</v>
      </c>
      <c r="B89" t="s">
        <v>339</v>
      </c>
      <c r="C89" t="s">
        <v>340</v>
      </c>
      <c r="D89" t="s">
        <v>341</v>
      </c>
      <c r="E89" t="s">
        <v>342</v>
      </c>
      <c r="F89" s="2" t="s">
        <v>343</v>
      </c>
      <c r="G89" s="4" t="s">
        <v>271</v>
      </c>
      <c r="H89" t="s">
        <v>5</v>
      </c>
    </row>
    <row r="90" spans="1:8" x14ac:dyDescent="0.3">
      <c r="A90" t="s">
        <v>333</v>
      </c>
      <c r="B90" t="s">
        <v>157</v>
      </c>
      <c r="C90" t="s">
        <v>158</v>
      </c>
      <c r="D90" t="s">
        <v>269</v>
      </c>
      <c r="E90" t="s">
        <v>270</v>
      </c>
      <c r="F90" s="2" t="s">
        <v>160</v>
      </c>
      <c r="G90" s="4" t="s">
        <v>271</v>
      </c>
      <c r="H90" t="s">
        <v>272</v>
      </c>
    </row>
    <row r="91" spans="1:8" x14ac:dyDescent="0.3">
      <c r="A91" t="s">
        <v>333</v>
      </c>
      <c r="B91" t="s">
        <v>100</v>
      </c>
      <c r="C91" t="s">
        <v>104</v>
      </c>
      <c r="D91" t="s">
        <v>279</v>
      </c>
      <c r="E91" t="s">
        <v>280</v>
      </c>
      <c r="F91" s="2" t="s">
        <v>103</v>
      </c>
      <c r="G91" s="4" t="s">
        <v>271</v>
      </c>
      <c r="H91" t="s">
        <v>272</v>
      </c>
    </row>
    <row r="92" spans="1:8" x14ac:dyDescent="0.3">
      <c r="A92" t="s">
        <v>333</v>
      </c>
      <c r="B92" t="s">
        <v>344</v>
      </c>
      <c r="C92" t="s">
        <v>345</v>
      </c>
      <c r="D92" t="s">
        <v>346</v>
      </c>
      <c r="E92" t="s">
        <v>347</v>
      </c>
      <c r="F92" s="2" t="s">
        <v>348</v>
      </c>
      <c r="G92" s="4" t="s">
        <v>271</v>
      </c>
      <c r="H92" t="s">
        <v>272</v>
      </c>
    </row>
    <row r="93" spans="1:8" x14ac:dyDescent="0.3">
      <c r="A93" t="s">
        <v>333</v>
      </c>
      <c r="B93" t="s">
        <v>349</v>
      </c>
      <c r="C93" t="s">
        <v>350</v>
      </c>
      <c r="D93" t="s">
        <v>351</v>
      </c>
      <c r="E93" t="s">
        <v>352</v>
      </c>
      <c r="F93" s="2" t="s">
        <v>353</v>
      </c>
      <c r="G93" s="4" t="s">
        <v>271</v>
      </c>
      <c r="H93" t="s">
        <v>290</v>
      </c>
    </row>
    <row r="94" spans="1:8" x14ac:dyDescent="0.3">
      <c r="A94" t="s">
        <v>333</v>
      </c>
      <c r="B94" t="s">
        <v>354</v>
      </c>
      <c r="C94" t="s">
        <v>355</v>
      </c>
      <c r="D94" t="s">
        <v>356</v>
      </c>
      <c r="E94" t="s">
        <v>357</v>
      </c>
      <c r="F94" s="2" t="s">
        <v>358</v>
      </c>
      <c r="G94" s="4" t="s">
        <v>271</v>
      </c>
      <c r="H94" t="s">
        <v>5</v>
      </c>
    </row>
    <row r="95" spans="1:8" x14ac:dyDescent="0.3">
      <c r="A95" t="s">
        <v>333</v>
      </c>
      <c r="B95" t="s">
        <v>51</v>
      </c>
      <c r="C95" t="s">
        <v>52</v>
      </c>
      <c r="D95" t="s">
        <v>359</v>
      </c>
      <c r="E95" t="s">
        <v>53</v>
      </c>
      <c r="F95" s="2" t="s">
        <v>54</v>
      </c>
      <c r="G95" s="4" t="s">
        <v>271</v>
      </c>
      <c r="H95" t="s">
        <v>272</v>
      </c>
    </row>
    <row r="96" spans="1:8" x14ac:dyDescent="0.3">
      <c r="A96" t="s">
        <v>333</v>
      </c>
      <c r="B96" t="s">
        <v>157</v>
      </c>
      <c r="C96" t="s">
        <v>360</v>
      </c>
      <c r="D96" t="s">
        <v>361</v>
      </c>
      <c r="E96" t="s">
        <v>270</v>
      </c>
      <c r="F96" s="2" t="s">
        <v>160</v>
      </c>
      <c r="G96" s="4" t="s">
        <v>271</v>
      </c>
      <c r="H96" t="s">
        <v>5</v>
      </c>
    </row>
    <row r="97" spans="1:8" x14ac:dyDescent="0.3">
      <c r="A97" t="s">
        <v>333</v>
      </c>
      <c r="B97" t="s">
        <v>362</v>
      </c>
      <c r="C97" t="s">
        <v>363</v>
      </c>
      <c r="D97" t="s">
        <v>364</v>
      </c>
      <c r="E97" t="s">
        <v>365</v>
      </c>
      <c r="F97" s="2" t="s">
        <v>366</v>
      </c>
      <c r="G97" s="4" t="s">
        <v>271</v>
      </c>
      <c r="H97" t="s">
        <v>290</v>
      </c>
    </row>
    <row r="98" spans="1:8" x14ac:dyDescent="0.3">
      <c r="A98" t="s">
        <v>333</v>
      </c>
      <c r="B98" t="s">
        <v>367</v>
      </c>
      <c r="C98" t="s">
        <v>368</v>
      </c>
      <c r="D98" t="s">
        <v>369</v>
      </c>
      <c r="E98" t="s">
        <v>370</v>
      </c>
      <c r="F98" s="2" t="s">
        <v>371</v>
      </c>
      <c r="G98" s="4" t="s">
        <v>271</v>
      </c>
      <c r="H98" t="s">
        <v>328</v>
      </c>
    </row>
    <row r="99" spans="1:8" x14ac:dyDescent="0.3">
      <c r="A99" t="s">
        <v>333</v>
      </c>
      <c r="B99" t="s">
        <v>372</v>
      </c>
      <c r="C99" t="s">
        <v>373</v>
      </c>
      <c r="E99" t="s">
        <v>374</v>
      </c>
      <c r="F99" s="2" t="s">
        <v>375</v>
      </c>
      <c r="G99" s="4" t="s">
        <v>271</v>
      </c>
      <c r="H99" t="s">
        <v>37</v>
      </c>
    </row>
    <row r="100" spans="1:8" x14ac:dyDescent="0.3">
      <c r="A100" t="s">
        <v>333</v>
      </c>
      <c r="B100" t="s">
        <v>376</v>
      </c>
      <c r="C100" t="s">
        <v>377</v>
      </c>
      <c r="E100" t="s">
        <v>378</v>
      </c>
      <c r="F100" s="2" t="s">
        <v>379</v>
      </c>
      <c r="G100" s="4" t="s">
        <v>271</v>
      </c>
      <c r="H100" t="s">
        <v>290</v>
      </c>
    </row>
    <row r="101" spans="1:8" x14ac:dyDescent="0.3">
      <c r="A101" t="s">
        <v>333</v>
      </c>
      <c r="B101" t="s">
        <v>380</v>
      </c>
      <c r="C101" t="s">
        <v>381</v>
      </c>
      <c r="E101" t="s">
        <v>382</v>
      </c>
      <c r="F101" s="2" t="s">
        <v>383</v>
      </c>
      <c r="G101" s="4" t="s">
        <v>271</v>
      </c>
      <c r="H101" t="s">
        <v>43</v>
      </c>
    </row>
    <row r="102" spans="1:8" x14ac:dyDescent="0.3">
      <c r="A102" t="s">
        <v>384</v>
      </c>
      <c r="B102" t="s">
        <v>100</v>
      </c>
      <c r="C102" t="s">
        <v>101</v>
      </c>
      <c r="D102" t="s">
        <v>385</v>
      </c>
      <c r="E102" t="s">
        <v>280</v>
      </c>
      <c r="F102" s="2" t="s">
        <v>103</v>
      </c>
      <c r="G102" s="4" t="s">
        <v>271</v>
      </c>
      <c r="H102" t="s">
        <v>272</v>
      </c>
    </row>
    <row r="103" spans="1:8" x14ac:dyDescent="0.3">
      <c r="A103" t="s">
        <v>384</v>
      </c>
      <c r="B103" t="s">
        <v>386</v>
      </c>
      <c r="C103" t="s">
        <v>387</v>
      </c>
      <c r="D103" t="s">
        <v>388</v>
      </c>
      <c r="E103" t="s">
        <v>389</v>
      </c>
      <c r="F103" s="2" t="s">
        <v>390</v>
      </c>
      <c r="G103" s="4" t="s">
        <v>271</v>
      </c>
      <c r="H103" t="s">
        <v>31</v>
      </c>
    </row>
    <row r="104" spans="1:8" x14ac:dyDescent="0.3">
      <c r="A104" t="s">
        <v>384</v>
      </c>
      <c r="B104" t="s">
        <v>391</v>
      </c>
      <c r="C104" t="s">
        <v>392</v>
      </c>
      <c r="D104" t="s">
        <v>393</v>
      </c>
      <c r="E104" t="s">
        <v>394</v>
      </c>
      <c r="F104" s="2" t="s">
        <v>395</v>
      </c>
      <c r="G104" s="4" t="s">
        <v>271</v>
      </c>
      <c r="H104" t="s">
        <v>16</v>
      </c>
    </row>
    <row r="105" spans="1:8" x14ac:dyDescent="0.3">
      <c r="A105" t="s">
        <v>384</v>
      </c>
      <c r="B105" t="s">
        <v>367</v>
      </c>
      <c r="C105" t="s">
        <v>396</v>
      </c>
      <c r="D105" t="s">
        <v>397</v>
      </c>
      <c r="E105" t="s">
        <v>398</v>
      </c>
      <c r="F105" s="2" t="s">
        <v>399</v>
      </c>
      <c r="G105" s="4" t="s">
        <v>271</v>
      </c>
      <c r="H105" t="s">
        <v>290</v>
      </c>
    </row>
    <row r="106" spans="1:8" x14ac:dyDescent="0.3">
      <c r="A106" t="s">
        <v>384</v>
      </c>
      <c r="B106" t="s">
        <v>367</v>
      </c>
      <c r="C106" t="s">
        <v>400</v>
      </c>
      <c r="D106" t="s">
        <v>401</v>
      </c>
      <c r="E106" t="s">
        <v>398</v>
      </c>
      <c r="F106" s="2" t="s">
        <v>399</v>
      </c>
      <c r="G106" s="4" t="s">
        <v>271</v>
      </c>
      <c r="H106" t="s">
        <v>290</v>
      </c>
    </row>
    <row r="107" spans="1:8" x14ac:dyDescent="0.3">
      <c r="A107" t="s">
        <v>384</v>
      </c>
      <c r="B107" t="s">
        <v>402</v>
      </c>
      <c r="C107" t="s">
        <v>403</v>
      </c>
      <c r="D107" t="s">
        <v>404</v>
      </c>
      <c r="E107" t="s">
        <v>357</v>
      </c>
      <c r="F107" s="2" t="s">
        <v>358</v>
      </c>
      <c r="G107" s="4" t="s">
        <v>271</v>
      </c>
      <c r="H107" t="s">
        <v>5</v>
      </c>
    </row>
    <row r="108" spans="1:8" x14ac:dyDescent="0.3">
      <c r="A108" t="s">
        <v>384</v>
      </c>
      <c r="B108" t="s">
        <v>405</v>
      </c>
      <c r="C108" t="s">
        <v>406</v>
      </c>
      <c r="D108" t="s">
        <v>407</v>
      </c>
      <c r="E108" t="s">
        <v>408</v>
      </c>
      <c r="F108" s="2" t="s">
        <v>409</v>
      </c>
      <c r="G108" s="4" t="s">
        <v>271</v>
      </c>
      <c r="H108" t="s">
        <v>272</v>
      </c>
    </row>
    <row r="109" spans="1:8" x14ac:dyDescent="0.3">
      <c r="A109" t="s">
        <v>384</v>
      </c>
      <c r="B109" t="s">
        <v>75</v>
      </c>
      <c r="C109" t="s">
        <v>76</v>
      </c>
      <c r="D109" t="s">
        <v>410</v>
      </c>
      <c r="E109" t="s">
        <v>77</v>
      </c>
      <c r="F109" s="2" t="s">
        <v>78</v>
      </c>
      <c r="G109" s="4" t="s">
        <v>271</v>
      </c>
      <c r="H109" t="s">
        <v>272</v>
      </c>
    </row>
    <row r="110" spans="1:8" x14ac:dyDescent="0.3">
      <c r="A110" t="s">
        <v>384</v>
      </c>
      <c r="B110" t="s">
        <v>411</v>
      </c>
      <c r="C110" t="s">
        <v>412</v>
      </c>
      <c r="D110" t="s">
        <v>413</v>
      </c>
      <c r="E110" t="s">
        <v>414</v>
      </c>
      <c r="F110" s="2" t="s">
        <v>415</v>
      </c>
      <c r="G110" s="4" t="s">
        <v>271</v>
      </c>
      <c r="H110" t="s">
        <v>5</v>
      </c>
    </row>
    <row r="111" spans="1:8" x14ac:dyDescent="0.3">
      <c r="A111" t="s">
        <v>384</v>
      </c>
      <c r="B111" t="s">
        <v>416</v>
      </c>
      <c r="C111" t="s">
        <v>417</v>
      </c>
      <c r="D111" t="s">
        <v>418</v>
      </c>
      <c r="E111" t="s">
        <v>419</v>
      </c>
      <c r="F111" s="2" t="s">
        <v>420</v>
      </c>
      <c r="G111" s="4" t="s">
        <v>271</v>
      </c>
      <c r="H111" t="s">
        <v>31</v>
      </c>
    </row>
    <row r="112" spans="1:8" x14ac:dyDescent="0.3">
      <c r="A112" t="s">
        <v>384</v>
      </c>
      <c r="B112" t="s">
        <v>157</v>
      </c>
      <c r="C112" t="s">
        <v>360</v>
      </c>
      <c r="D112" t="s">
        <v>361</v>
      </c>
      <c r="E112" t="s">
        <v>270</v>
      </c>
      <c r="F112" s="2" t="s">
        <v>160</v>
      </c>
      <c r="G112" s="4" t="s">
        <v>421</v>
      </c>
      <c r="H112" t="s">
        <v>5</v>
      </c>
    </row>
    <row r="113" spans="1:8" x14ac:dyDescent="0.3">
      <c r="A113" t="s">
        <v>384</v>
      </c>
      <c r="B113" t="s">
        <v>367</v>
      </c>
      <c r="C113" t="s">
        <v>422</v>
      </c>
      <c r="D113" t="s">
        <v>369</v>
      </c>
      <c r="E113" t="s">
        <v>370</v>
      </c>
      <c r="F113" s="2" t="s">
        <v>371</v>
      </c>
      <c r="G113" s="4" t="s">
        <v>421</v>
      </c>
      <c r="H113" t="s">
        <v>31</v>
      </c>
    </row>
    <row r="114" spans="1:8" x14ac:dyDescent="0.3">
      <c r="A114" t="s">
        <v>384</v>
      </c>
      <c r="B114" t="s">
        <v>423</v>
      </c>
      <c r="E114" t="s">
        <v>424</v>
      </c>
      <c r="F114" s="2" t="s">
        <v>425</v>
      </c>
      <c r="G114" s="4" t="s">
        <v>271</v>
      </c>
      <c r="H114" t="s">
        <v>5</v>
      </c>
    </row>
    <row r="115" spans="1:8" x14ac:dyDescent="0.3">
      <c r="A115" t="s">
        <v>384</v>
      </c>
      <c r="B115" t="s">
        <v>426</v>
      </c>
      <c r="C115" t="s">
        <v>427</v>
      </c>
      <c r="E115" t="s">
        <v>428</v>
      </c>
      <c r="F115" s="2" t="s">
        <v>429</v>
      </c>
      <c r="G115" s="4" t="s">
        <v>421</v>
      </c>
      <c r="H115" t="s">
        <v>31</v>
      </c>
    </row>
    <row r="116" spans="1:8" x14ac:dyDescent="0.3">
      <c r="A116" t="s">
        <v>384</v>
      </c>
      <c r="B116" t="s">
        <v>430</v>
      </c>
      <c r="C116" t="s">
        <v>431</v>
      </c>
      <c r="E116" t="s">
        <v>432</v>
      </c>
      <c r="F116" s="2" t="s">
        <v>433</v>
      </c>
      <c r="G116" s="4" t="s">
        <v>421</v>
      </c>
      <c r="H116" t="s">
        <v>290</v>
      </c>
    </row>
    <row r="117" spans="1:8" x14ac:dyDescent="0.3">
      <c r="A117" t="s">
        <v>384</v>
      </c>
      <c r="B117" t="s">
        <v>434</v>
      </c>
      <c r="C117" t="s">
        <v>435</v>
      </c>
      <c r="E117" t="s">
        <v>436</v>
      </c>
      <c r="F117" s="2" t="s">
        <v>437</v>
      </c>
      <c r="G117" s="4" t="s">
        <v>421</v>
      </c>
      <c r="H117" t="s">
        <v>290</v>
      </c>
    </row>
    <row r="118" spans="1:8" x14ac:dyDescent="0.3">
      <c r="A118" t="s">
        <v>384</v>
      </c>
      <c r="B118" t="s">
        <v>438</v>
      </c>
      <c r="C118" t="s">
        <v>439</v>
      </c>
      <c r="E118" t="s">
        <v>440</v>
      </c>
      <c r="F118" s="2" t="s">
        <v>441</v>
      </c>
      <c r="G118" s="4" t="s">
        <v>421</v>
      </c>
      <c r="H118" t="s">
        <v>328</v>
      </c>
    </row>
    <row r="119" spans="1:8" x14ac:dyDescent="0.3">
      <c r="A119" t="s">
        <v>442</v>
      </c>
      <c r="B119" t="s">
        <v>443</v>
      </c>
      <c r="C119" t="s">
        <v>444</v>
      </c>
      <c r="D119" t="s">
        <v>445</v>
      </c>
      <c r="E119" t="s">
        <v>446</v>
      </c>
      <c r="F119" s="2" t="s">
        <v>447</v>
      </c>
      <c r="G119" s="4" t="s">
        <v>448</v>
      </c>
      <c r="H119" t="s">
        <v>449</v>
      </c>
    </row>
    <row r="120" spans="1:8" x14ac:dyDescent="0.3">
      <c r="A120" t="s">
        <v>442</v>
      </c>
      <c r="B120" t="s">
        <v>450</v>
      </c>
      <c r="C120" t="s">
        <v>451</v>
      </c>
      <c r="D120" t="s">
        <v>452</v>
      </c>
      <c r="E120" t="s">
        <v>453</v>
      </c>
      <c r="F120" s="2" t="s">
        <v>454</v>
      </c>
      <c r="G120" s="4" t="s">
        <v>448</v>
      </c>
      <c r="H120" t="s">
        <v>449</v>
      </c>
    </row>
    <row r="121" spans="1:8" x14ac:dyDescent="0.3">
      <c r="A121" t="s">
        <v>442</v>
      </c>
      <c r="B121" t="s">
        <v>455</v>
      </c>
      <c r="C121" t="s">
        <v>456</v>
      </c>
      <c r="D121" t="s">
        <v>457</v>
      </c>
      <c r="E121" t="s">
        <v>458</v>
      </c>
      <c r="F121" s="2" t="s">
        <v>459</v>
      </c>
      <c r="G121" s="4" t="s">
        <v>460</v>
      </c>
      <c r="H121" t="s">
        <v>31</v>
      </c>
    </row>
    <row r="122" spans="1:8" x14ac:dyDescent="0.3">
      <c r="A122" t="s">
        <v>442</v>
      </c>
      <c r="B122" t="s">
        <v>461</v>
      </c>
      <c r="C122" t="s">
        <v>462</v>
      </c>
      <c r="D122" t="s">
        <v>463</v>
      </c>
      <c r="E122" t="s">
        <v>464</v>
      </c>
      <c r="F122" s="2" t="s">
        <v>465</v>
      </c>
      <c r="G122" s="4" t="s">
        <v>460</v>
      </c>
      <c r="H122" t="s">
        <v>16</v>
      </c>
    </row>
    <row r="123" spans="1:8" x14ac:dyDescent="0.3">
      <c r="A123" t="s">
        <v>442</v>
      </c>
      <c r="B123" t="s">
        <v>391</v>
      </c>
      <c r="C123" t="s">
        <v>392</v>
      </c>
      <c r="D123" t="s">
        <v>393</v>
      </c>
      <c r="E123" t="s">
        <v>394</v>
      </c>
      <c r="F123" s="2" t="s">
        <v>395</v>
      </c>
      <c r="G123" s="4" t="s">
        <v>466</v>
      </c>
      <c r="H123" t="s">
        <v>16</v>
      </c>
    </row>
    <row r="124" spans="1:8" x14ac:dyDescent="0.3">
      <c r="A124" t="s">
        <v>442</v>
      </c>
      <c r="B124" t="s">
        <v>467</v>
      </c>
      <c r="C124" t="s">
        <v>468</v>
      </c>
      <c r="D124" t="s">
        <v>469</v>
      </c>
      <c r="E124" t="s">
        <v>470</v>
      </c>
      <c r="F124" s="2" t="s">
        <v>471</v>
      </c>
      <c r="G124" s="4" t="s">
        <v>466</v>
      </c>
      <c r="H124" t="s">
        <v>272</v>
      </c>
    </row>
    <row r="125" spans="1:8" x14ac:dyDescent="0.3">
      <c r="A125" t="s">
        <v>442</v>
      </c>
      <c r="B125" t="s">
        <v>472</v>
      </c>
      <c r="C125" t="s">
        <v>473</v>
      </c>
      <c r="D125" t="s">
        <v>474</v>
      </c>
      <c r="E125" t="s">
        <v>475</v>
      </c>
      <c r="F125" s="2" t="s">
        <v>476</v>
      </c>
      <c r="G125" s="4" t="s">
        <v>466</v>
      </c>
      <c r="H125" t="s">
        <v>5</v>
      </c>
    </row>
    <row r="126" spans="1:8" x14ac:dyDescent="0.3">
      <c r="A126" t="s">
        <v>442</v>
      </c>
      <c r="B126" t="s">
        <v>477</v>
      </c>
      <c r="E126" t="s">
        <v>478</v>
      </c>
      <c r="F126" s="2" t="s">
        <v>479</v>
      </c>
      <c r="G126" s="4" t="s">
        <v>466</v>
      </c>
      <c r="H126" t="s">
        <v>290</v>
      </c>
    </row>
    <row r="127" spans="1:8" x14ac:dyDescent="0.3">
      <c r="A127" t="s">
        <v>442</v>
      </c>
      <c r="B127" t="s">
        <v>480</v>
      </c>
      <c r="C127" t="s">
        <v>481</v>
      </c>
      <c r="D127" t="s">
        <v>482</v>
      </c>
      <c r="E127" t="s">
        <v>483</v>
      </c>
      <c r="F127" s="2" t="s">
        <v>484</v>
      </c>
      <c r="G127" s="4" t="s">
        <v>466</v>
      </c>
      <c r="H127" t="s">
        <v>272</v>
      </c>
    </row>
    <row r="128" spans="1:8" x14ac:dyDescent="0.3">
      <c r="A128" t="s">
        <v>442</v>
      </c>
      <c r="B128" t="s">
        <v>423</v>
      </c>
      <c r="C128" t="s">
        <v>485</v>
      </c>
      <c r="D128" t="s">
        <v>393</v>
      </c>
      <c r="E128" t="s">
        <v>424</v>
      </c>
      <c r="F128" s="2" t="s">
        <v>425</v>
      </c>
      <c r="G128" s="4" t="s">
        <v>466</v>
      </c>
      <c r="H128" t="s">
        <v>272</v>
      </c>
    </row>
    <row r="129" spans="1:8" x14ac:dyDescent="0.3">
      <c r="A129" t="s">
        <v>442</v>
      </c>
      <c r="B129" t="s">
        <v>486</v>
      </c>
      <c r="C129" t="s">
        <v>487</v>
      </c>
      <c r="D129" t="s">
        <v>488</v>
      </c>
      <c r="E129" t="s">
        <v>489</v>
      </c>
      <c r="F129" s="2" t="s">
        <v>490</v>
      </c>
      <c r="G129" s="4" t="s">
        <v>466</v>
      </c>
      <c r="H129" t="s">
        <v>290</v>
      </c>
    </row>
    <row r="130" spans="1:8" x14ac:dyDescent="0.3">
      <c r="A130" t="s">
        <v>442</v>
      </c>
      <c r="B130" t="s">
        <v>367</v>
      </c>
      <c r="C130" t="s">
        <v>368</v>
      </c>
      <c r="D130" t="s">
        <v>491</v>
      </c>
      <c r="E130" t="s">
        <v>370</v>
      </c>
      <c r="F130" s="2" t="s">
        <v>371</v>
      </c>
      <c r="G130" s="4" t="s">
        <v>466</v>
      </c>
      <c r="H130" t="s">
        <v>31</v>
      </c>
    </row>
    <row r="131" spans="1:8" x14ac:dyDescent="0.3">
      <c r="A131" t="s">
        <v>442</v>
      </c>
      <c r="B131" t="s">
        <v>492</v>
      </c>
      <c r="C131" t="s">
        <v>493</v>
      </c>
      <c r="D131" t="s">
        <v>494</v>
      </c>
      <c r="E131" t="s">
        <v>495</v>
      </c>
      <c r="F131" s="2" t="s">
        <v>496</v>
      </c>
      <c r="G131" s="4" t="s">
        <v>466</v>
      </c>
      <c r="H131" t="s">
        <v>31</v>
      </c>
    </row>
    <row r="132" spans="1:8" x14ac:dyDescent="0.3">
      <c r="A132" t="s">
        <v>442</v>
      </c>
      <c r="B132" t="s">
        <v>497</v>
      </c>
      <c r="C132" t="s">
        <v>498</v>
      </c>
      <c r="E132" t="s">
        <v>499</v>
      </c>
      <c r="F132" s="2" t="s">
        <v>500</v>
      </c>
      <c r="G132" s="4" t="s">
        <v>466</v>
      </c>
      <c r="H132" t="s">
        <v>31</v>
      </c>
    </row>
    <row r="133" spans="1:8" x14ac:dyDescent="0.3">
      <c r="A133" t="s">
        <v>442</v>
      </c>
      <c r="B133" t="s">
        <v>501</v>
      </c>
      <c r="C133" t="s">
        <v>502</v>
      </c>
      <c r="E133" t="s">
        <v>503</v>
      </c>
      <c r="F133" s="2" t="s">
        <v>504</v>
      </c>
      <c r="G133" s="4" t="s">
        <v>466</v>
      </c>
      <c r="H133" t="s">
        <v>31</v>
      </c>
    </row>
    <row r="134" spans="1:8" x14ac:dyDescent="0.3">
      <c r="A134" t="s">
        <v>442</v>
      </c>
      <c r="B134" t="s">
        <v>505</v>
      </c>
      <c r="E134" t="s">
        <v>506</v>
      </c>
      <c r="F134" s="2" t="s">
        <v>507</v>
      </c>
      <c r="G134" s="4" t="s">
        <v>466</v>
      </c>
      <c r="H134" t="s">
        <v>328</v>
      </c>
    </row>
    <row r="135" spans="1:8" x14ac:dyDescent="0.3">
      <c r="A135" t="s">
        <v>442</v>
      </c>
      <c r="B135" t="s">
        <v>508</v>
      </c>
      <c r="E135" t="s">
        <v>509</v>
      </c>
      <c r="F135" s="2" t="s">
        <v>510</v>
      </c>
      <c r="G135" s="4" t="s">
        <v>466</v>
      </c>
      <c r="H135" t="s">
        <v>37</v>
      </c>
    </row>
    <row r="136" spans="1:8" x14ac:dyDescent="0.3">
      <c r="A136" t="s">
        <v>442</v>
      </c>
      <c r="B136" t="s">
        <v>511</v>
      </c>
      <c r="C136" t="s">
        <v>512</v>
      </c>
      <c r="E136" t="s">
        <v>513</v>
      </c>
      <c r="F136" s="2" t="s">
        <v>514</v>
      </c>
      <c r="G136" s="4" t="s">
        <v>466</v>
      </c>
      <c r="H136" t="s">
        <v>515</v>
      </c>
    </row>
    <row r="137" spans="1:8" x14ac:dyDescent="0.3">
      <c r="A137" t="s">
        <v>442</v>
      </c>
      <c r="B137" t="s">
        <v>516</v>
      </c>
      <c r="C137" t="s">
        <v>517</v>
      </c>
      <c r="E137" t="s">
        <v>518</v>
      </c>
      <c r="F137" s="2" t="s">
        <v>519</v>
      </c>
      <c r="G137" s="4" t="s">
        <v>520</v>
      </c>
      <c r="H137" t="s">
        <v>328</v>
      </c>
    </row>
    <row r="138" spans="1:8" x14ac:dyDescent="0.3">
      <c r="A138" t="s">
        <v>521</v>
      </c>
      <c r="B138" t="s">
        <v>522</v>
      </c>
      <c r="C138" t="s">
        <v>523</v>
      </c>
      <c r="D138" t="s">
        <v>524</v>
      </c>
      <c r="E138" t="s">
        <v>525</v>
      </c>
      <c r="F138" s="2" t="s">
        <v>526</v>
      </c>
      <c r="G138" s="4" t="s">
        <v>527</v>
      </c>
      <c r="H138" t="s">
        <v>449</v>
      </c>
    </row>
    <row r="139" spans="1:8" x14ac:dyDescent="0.3">
      <c r="A139" t="s">
        <v>521</v>
      </c>
      <c r="B139" t="s">
        <v>528</v>
      </c>
      <c r="C139" t="s">
        <v>529</v>
      </c>
      <c r="D139" t="s">
        <v>530</v>
      </c>
      <c r="E139" t="s">
        <v>531</v>
      </c>
      <c r="F139" s="2" t="s">
        <v>532</v>
      </c>
      <c r="G139" s="4" t="s">
        <v>527</v>
      </c>
      <c r="H139" t="s">
        <v>449</v>
      </c>
    </row>
    <row r="140" spans="1:8" x14ac:dyDescent="0.3">
      <c r="A140" t="s">
        <v>521</v>
      </c>
      <c r="B140" t="s">
        <v>533</v>
      </c>
      <c r="C140" t="s">
        <v>534</v>
      </c>
      <c r="D140" t="s">
        <v>535</v>
      </c>
      <c r="E140" t="s">
        <v>536</v>
      </c>
      <c r="F140" s="2" t="s">
        <v>537</v>
      </c>
      <c r="G140" s="4" t="s">
        <v>538</v>
      </c>
      <c r="H140" t="s">
        <v>449</v>
      </c>
    </row>
    <row r="141" spans="1:8" x14ac:dyDescent="0.3">
      <c r="A141" t="s">
        <v>521</v>
      </c>
      <c r="B141" t="s">
        <v>539</v>
      </c>
      <c r="C141" t="s">
        <v>540</v>
      </c>
      <c r="D141" t="s">
        <v>541</v>
      </c>
      <c r="E141" t="s">
        <v>542</v>
      </c>
      <c r="F141" s="2" t="s">
        <v>543</v>
      </c>
      <c r="G141" s="4" t="s">
        <v>538</v>
      </c>
      <c r="H141" t="s">
        <v>16</v>
      </c>
    </row>
    <row r="142" spans="1:8" x14ac:dyDescent="0.3">
      <c r="A142" t="s">
        <v>521</v>
      </c>
      <c r="B142" t="s">
        <v>544</v>
      </c>
      <c r="C142" t="s">
        <v>545</v>
      </c>
      <c r="D142" t="s">
        <v>546</v>
      </c>
      <c r="E142" t="s">
        <v>547</v>
      </c>
      <c r="F142" s="2" t="s">
        <v>548</v>
      </c>
      <c r="G142" s="4" t="s">
        <v>538</v>
      </c>
      <c r="H142" t="s">
        <v>449</v>
      </c>
    </row>
    <row r="143" spans="1:8" x14ac:dyDescent="0.3">
      <c r="A143" t="s">
        <v>521</v>
      </c>
      <c r="B143" t="s">
        <v>549</v>
      </c>
      <c r="C143" t="s">
        <v>550</v>
      </c>
      <c r="D143" t="s">
        <v>551</v>
      </c>
      <c r="E143" t="s">
        <v>552</v>
      </c>
      <c r="F143" s="2" t="s">
        <v>553</v>
      </c>
      <c r="G143" s="4" t="s">
        <v>538</v>
      </c>
      <c r="H143" t="s">
        <v>449</v>
      </c>
    </row>
    <row r="144" spans="1:8" x14ac:dyDescent="0.3">
      <c r="A144" t="s">
        <v>521</v>
      </c>
      <c r="B144" t="s">
        <v>554</v>
      </c>
      <c r="C144" t="s">
        <v>555</v>
      </c>
      <c r="D144" t="s">
        <v>556</v>
      </c>
      <c r="E144" t="s">
        <v>557</v>
      </c>
      <c r="F144" s="2" t="s">
        <v>558</v>
      </c>
      <c r="G144" s="4" t="s">
        <v>538</v>
      </c>
      <c r="H144" t="s">
        <v>449</v>
      </c>
    </row>
    <row r="145" spans="1:8" x14ac:dyDescent="0.3">
      <c r="A145" t="s">
        <v>521</v>
      </c>
      <c r="B145" t="s">
        <v>559</v>
      </c>
      <c r="C145" t="s">
        <v>560</v>
      </c>
      <c r="D145" t="s">
        <v>561</v>
      </c>
      <c r="E145" t="s">
        <v>562</v>
      </c>
      <c r="F145" s="2" t="s">
        <v>563</v>
      </c>
      <c r="G145" s="4" t="s">
        <v>538</v>
      </c>
      <c r="H145" t="s">
        <v>449</v>
      </c>
    </row>
    <row r="146" spans="1:8" x14ac:dyDescent="0.3">
      <c r="A146" t="s">
        <v>521</v>
      </c>
      <c r="B146" t="s">
        <v>564</v>
      </c>
      <c r="C146" t="s">
        <v>565</v>
      </c>
      <c r="D146" t="s">
        <v>566</v>
      </c>
      <c r="E146" t="s">
        <v>567</v>
      </c>
      <c r="F146" s="2" t="s">
        <v>568</v>
      </c>
      <c r="G146" s="4" t="s">
        <v>538</v>
      </c>
      <c r="H146" t="s">
        <v>569</v>
      </c>
    </row>
    <row r="147" spans="1:8" x14ac:dyDescent="0.3">
      <c r="A147" t="s">
        <v>521</v>
      </c>
      <c r="B147" t="s">
        <v>570</v>
      </c>
      <c r="C147" t="s">
        <v>571</v>
      </c>
      <c r="D147" t="s">
        <v>572</v>
      </c>
      <c r="E147" t="s">
        <v>573</v>
      </c>
      <c r="F147" s="2" t="s">
        <v>574</v>
      </c>
      <c r="G147" s="4" t="s">
        <v>538</v>
      </c>
      <c r="H147" t="s">
        <v>449</v>
      </c>
    </row>
    <row r="148" spans="1:8" x14ac:dyDescent="0.3">
      <c r="A148" t="s">
        <v>521</v>
      </c>
      <c r="B148" t="s">
        <v>575</v>
      </c>
      <c r="C148" t="s">
        <v>576</v>
      </c>
      <c r="D148" t="s">
        <v>577</v>
      </c>
      <c r="E148" t="s">
        <v>578</v>
      </c>
      <c r="F148" s="2" t="s">
        <v>579</v>
      </c>
      <c r="G148" s="4" t="s">
        <v>538</v>
      </c>
      <c r="H148" t="s">
        <v>449</v>
      </c>
    </row>
    <row r="149" spans="1:8" x14ac:dyDescent="0.3">
      <c r="A149" t="s">
        <v>521</v>
      </c>
      <c r="B149" t="s">
        <v>315</v>
      </c>
      <c r="C149" t="s">
        <v>316</v>
      </c>
      <c r="D149" t="s">
        <v>580</v>
      </c>
      <c r="E149" t="s">
        <v>581</v>
      </c>
      <c r="F149" s="2" t="s">
        <v>318</v>
      </c>
      <c r="G149" s="4" t="s">
        <v>538</v>
      </c>
      <c r="H149" t="s">
        <v>16</v>
      </c>
    </row>
    <row r="150" spans="1:8" x14ac:dyDescent="0.3">
      <c r="A150" t="s">
        <v>521</v>
      </c>
      <c r="B150" t="s">
        <v>582</v>
      </c>
      <c r="C150" t="s">
        <v>583</v>
      </c>
      <c r="D150" t="s">
        <v>584</v>
      </c>
      <c r="E150" t="s">
        <v>585</v>
      </c>
      <c r="F150" s="2" t="s">
        <v>586</v>
      </c>
      <c r="G150" s="4" t="s">
        <v>538</v>
      </c>
      <c r="H150" t="s">
        <v>569</v>
      </c>
    </row>
    <row r="151" spans="1:8" x14ac:dyDescent="0.3">
      <c r="A151" t="s">
        <v>521</v>
      </c>
      <c r="B151" t="s">
        <v>587</v>
      </c>
      <c r="C151" t="s">
        <v>588</v>
      </c>
      <c r="D151" t="s">
        <v>589</v>
      </c>
      <c r="E151" t="s">
        <v>590</v>
      </c>
      <c r="F151" s="2" t="s">
        <v>591</v>
      </c>
      <c r="G151" s="4" t="s">
        <v>538</v>
      </c>
      <c r="H151" t="s">
        <v>569</v>
      </c>
    </row>
    <row r="152" spans="1:8" x14ac:dyDescent="0.3">
      <c r="A152" t="s">
        <v>521</v>
      </c>
      <c r="B152" t="s">
        <v>592</v>
      </c>
      <c r="C152" t="s">
        <v>593</v>
      </c>
      <c r="D152" t="s">
        <v>594</v>
      </c>
      <c r="E152" t="s">
        <v>595</v>
      </c>
      <c r="F152" s="2" t="s">
        <v>596</v>
      </c>
      <c r="G152" s="4" t="s">
        <v>538</v>
      </c>
      <c r="H152" t="s">
        <v>569</v>
      </c>
    </row>
    <row r="153" spans="1:8" x14ac:dyDescent="0.3">
      <c r="A153" t="s">
        <v>521</v>
      </c>
      <c r="B153" t="s">
        <v>597</v>
      </c>
      <c r="C153" t="s">
        <v>598</v>
      </c>
      <c r="D153" t="s">
        <v>599</v>
      </c>
      <c r="E153" t="s">
        <v>600</v>
      </c>
      <c r="F153" s="2" t="s">
        <v>601</v>
      </c>
      <c r="G153" s="4" t="s">
        <v>602</v>
      </c>
      <c r="H153" t="s">
        <v>569</v>
      </c>
    </row>
    <row r="154" spans="1:8" x14ac:dyDescent="0.3">
      <c r="A154" t="s">
        <v>521</v>
      </c>
      <c r="B154" t="s">
        <v>603</v>
      </c>
      <c r="C154" t="s">
        <v>604</v>
      </c>
      <c r="D154" t="s">
        <v>605</v>
      </c>
      <c r="E154" t="s">
        <v>606</v>
      </c>
      <c r="F154" s="2" t="s">
        <v>607</v>
      </c>
      <c r="G154" s="4" t="s">
        <v>602</v>
      </c>
      <c r="H154" t="s">
        <v>272</v>
      </c>
    </row>
    <row r="155" spans="1:8" x14ac:dyDescent="0.3">
      <c r="A155" t="s">
        <v>521</v>
      </c>
      <c r="B155" t="s">
        <v>608</v>
      </c>
      <c r="C155" t="s">
        <v>609</v>
      </c>
      <c r="D155" t="s">
        <v>610</v>
      </c>
      <c r="E155" t="s">
        <v>611</v>
      </c>
      <c r="F155" s="2" t="s">
        <v>612</v>
      </c>
      <c r="G155" s="4" t="s">
        <v>602</v>
      </c>
      <c r="H155" t="s">
        <v>569</v>
      </c>
    </row>
    <row r="156" spans="1:8" x14ac:dyDescent="0.3">
      <c r="A156" t="s">
        <v>521</v>
      </c>
      <c r="B156" t="s">
        <v>613</v>
      </c>
      <c r="C156" t="s">
        <v>614</v>
      </c>
      <c r="D156" t="s">
        <v>615</v>
      </c>
      <c r="E156" t="s">
        <v>616</v>
      </c>
      <c r="F156" s="2" t="s">
        <v>617</v>
      </c>
      <c r="G156" s="4" t="s">
        <v>602</v>
      </c>
      <c r="H156" t="s">
        <v>16</v>
      </c>
    </row>
    <row r="157" spans="1:8" x14ac:dyDescent="0.3">
      <c r="A157" t="s">
        <v>521</v>
      </c>
      <c r="B157" t="s">
        <v>618</v>
      </c>
      <c r="C157" t="s">
        <v>619</v>
      </c>
      <c r="E157" t="s">
        <v>620</v>
      </c>
      <c r="F157" s="2" t="s">
        <v>621</v>
      </c>
      <c r="G157" s="4" t="s">
        <v>602</v>
      </c>
      <c r="H157" t="s">
        <v>16</v>
      </c>
    </row>
    <row r="158" spans="1:8" x14ac:dyDescent="0.3">
      <c r="A158" t="s">
        <v>521</v>
      </c>
      <c r="B158" t="s">
        <v>185</v>
      </c>
      <c r="C158" t="s">
        <v>186</v>
      </c>
      <c r="D158" t="s">
        <v>622</v>
      </c>
      <c r="E158" t="s">
        <v>623</v>
      </c>
      <c r="F158" s="2" t="s">
        <v>188</v>
      </c>
      <c r="G158" s="4" t="s">
        <v>624</v>
      </c>
      <c r="H158" t="s">
        <v>272</v>
      </c>
    </row>
    <row r="159" spans="1:8" x14ac:dyDescent="0.3">
      <c r="A159" t="s">
        <v>521</v>
      </c>
      <c r="B159" t="s">
        <v>96</v>
      </c>
      <c r="C159" t="s">
        <v>97</v>
      </c>
      <c r="D159" t="s">
        <v>625</v>
      </c>
      <c r="E159" t="s">
        <v>626</v>
      </c>
      <c r="F159" s="2" t="s">
        <v>99</v>
      </c>
      <c r="G159" s="4" t="s">
        <v>624</v>
      </c>
      <c r="H159" t="s">
        <v>290</v>
      </c>
    </row>
    <row r="160" spans="1:8" x14ac:dyDescent="0.3">
      <c r="A160" t="s">
        <v>521</v>
      </c>
      <c r="B160" t="s">
        <v>627</v>
      </c>
      <c r="C160" t="s">
        <v>628</v>
      </c>
      <c r="D160" t="s">
        <v>629</v>
      </c>
      <c r="E160" t="s">
        <v>630</v>
      </c>
      <c r="F160" s="2" t="s">
        <v>631</v>
      </c>
      <c r="G160" s="4" t="s">
        <v>624</v>
      </c>
      <c r="H160" t="s">
        <v>5</v>
      </c>
    </row>
    <row r="161" spans="1:8" x14ac:dyDescent="0.3">
      <c r="A161" t="s">
        <v>521</v>
      </c>
      <c r="B161" t="s">
        <v>632</v>
      </c>
      <c r="C161" t="s">
        <v>633</v>
      </c>
      <c r="D161" t="s">
        <v>634</v>
      </c>
      <c r="E161" t="s">
        <v>635</v>
      </c>
      <c r="F161" s="2" t="s">
        <v>636</v>
      </c>
      <c r="G161" s="4" t="s">
        <v>624</v>
      </c>
      <c r="H161" t="s">
        <v>5</v>
      </c>
    </row>
    <row r="162" spans="1:8" x14ac:dyDescent="0.3">
      <c r="A162" t="s">
        <v>521</v>
      </c>
      <c r="B162" t="s">
        <v>637</v>
      </c>
      <c r="C162" t="s">
        <v>638</v>
      </c>
      <c r="D162" t="s">
        <v>639</v>
      </c>
      <c r="E162" t="s">
        <v>640</v>
      </c>
      <c r="F162" s="2" t="s">
        <v>641</v>
      </c>
      <c r="G162" s="4" t="s">
        <v>624</v>
      </c>
      <c r="H162" t="s">
        <v>290</v>
      </c>
    </row>
    <row r="163" spans="1:8" x14ac:dyDescent="0.3">
      <c r="A163" t="s">
        <v>521</v>
      </c>
      <c r="B163" t="s">
        <v>642</v>
      </c>
      <c r="C163" t="s">
        <v>643</v>
      </c>
      <c r="D163" t="s">
        <v>644</v>
      </c>
      <c r="E163" t="s">
        <v>645</v>
      </c>
      <c r="F163" s="2" t="s">
        <v>646</v>
      </c>
      <c r="G163" s="4" t="s">
        <v>624</v>
      </c>
      <c r="H163" t="s">
        <v>5</v>
      </c>
    </row>
    <row r="164" spans="1:8" x14ac:dyDescent="0.3">
      <c r="A164" t="s">
        <v>521</v>
      </c>
      <c r="B164" t="s">
        <v>647</v>
      </c>
      <c r="C164" t="s">
        <v>648</v>
      </c>
      <c r="D164" t="s">
        <v>649</v>
      </c>
      <c r="E164" t="s">
        <v>650</v>
      </c>
      <c r="F164" s="2" t="s">
        <v>651</v>
      </c>
      <c r="G164" s="4" t="s">
        <v>624</v>
      </c>
      <c r="H164" t="s">
        <v>5</v>
      </c>
    </row>
    <row r="165" spans="1:8" x14ac:dyDescent="0.3">
      <c r="A165" t="s">
        <v>521</v>
      </c>
      <c r="B165" t="s">
        <v>652</v>
      </c>
      <c r="C165" t="s">
        <v>653</v>
      </c>
      <c r="D165" t="s">
        <v>654</v>
      </c>
      <c r="E165" t="s">
        <v>655</v>
      </c>
      <c r="F165" s="2" t="s">
        <v>656</v>
      </c>
      <c r="G165" s="4" t="s">
        <v>624</v>
      </c>
      <c r="H165" t="s">
        <v>5</v>
      </c>
    </row>
    <row r="166" spans="1:8" x14ac:dyDescent="0.3">
      <c r="A166" t="s">
        <v>521</v>
      </c>
      <c r="B166" t="s">
        <v>657</v>
      </c>
      <c r="C166" t="s">
        <v>658</v>
      </c>
      <c r="E166" t="s">
        <v>659</v>
      </c>
      <c r="F166" s="2" t="s">
        <v>660</v>
      </c>
      <c r="G166" s="4" t="s">
        <v>624</v>
      </c>
      <c r="H166" t="s">
        <v>5</v>
      </c>
    </row>
    <row r="167" spans="1:8" x14ac:dyDescent="0.3">
      <c r="A167" t="s">
        <v>521</v>
      </c>
      <c r="B167" t="s">
        <v>661</v>
      </c>
      <c r="C167" t="s">
        <v>662</v>
      </c>
      <c r="E167" t="s">
        <v>663</v>
      </c>
      <c r="F167" s="2" t="s">
        <v>664</v>
      </c>
      <c r="G167" s="4" t="s">
        <v>624</v>
      </c>
      <c r="H167" t="s">
        <v>5</v>
      </c>
    </row>
    <row r="168" spans="1:8" x14ac:dyDescent="0.3">
      <c r="A168" t="s">
        <v>521</v>
      </c>
      <c r="B168" t="s">
        <v>665</v>
      </c>
      <c r="C168" t="s">
        <v>666</v>
      </c>
      <c r="E168" t="s">
        <v>667</v>
      </c>
      <c r="F168" s="2" t="s">
        <v>668</v>
      </c>
      <c r="G168" s="4" t="s">
        <v>624</v>
      </c>
      <c r="H168" t="s">
        <v>31</v>
      </c>
    </row>
    <row r="169" spans="1:8" x14ac:dyDescent="0.3">
      <c r="A169" t="s">
        <v>521</v>
      </c>
      <c r="B169" t="s">
        <v>669</v>
      </c>
      <c r="C169" t="s">
        <v>670</v>
      </c>
      <c r="E169" t="s">
        <v>671</v>
      </c>
      <c r="F169" s="2" t="s">
        <v>672</v>
      </c>
      <c r="G169" s="4" t="s">
        <v>624</v>
      </c>
      <c r="H169" t="s">
        <v>5</v>
      </c>
    </row>
    <row r="170" spans="1:8" x14ac:dyDescent="0.3">
      <c r="A170" t="s">
        <v>521</v>
      </c>
      <c r="B170" t="s">
        <v>232</v>
      </c>
      <c r="C170" t="s">
        <v>240</v>
      </c>
      <c r="E170" t="s">
        <v>234</v>
      </c>
      <c r="F170" s="2" t="s">
        <v>235</v>
      </c>
      <c r="G170" s="4" t="s">
        <v>624</v>
      </c>
      <c r="H170" t="s">
        <v>290</v>
      </c>
    </row>
    <row r="171" spans="1:8" x14ac:dyDescent="0.3">
      <c r="A171" t="s">
        <v>521</v>
      </c>
      <c r="B171" t="s">
        <v>673</v>
      </c>
      <c r="C171" t="s">
        <v>674</v>
      </c>
      <c r="E171" t="s">
        <v>675</v>
      </c>
      <c r="F171" s="2" t="s">
        <v>676</v>
      </c>
      <c r="G171" s="4" t="s">
        <v>624</v>
      </c>
      <c r="H171" t="s">
        <v>31</v>
      </c>
    </row>
    <row r="172" spans="1:8" x14ac:dyDescent="0.3">
      <c r="A172" t="s">
        <v>521</v>
      </c>
      <c r="B172" t="s">
        <v>281</v>
      </c>
      <c r="C172" t="s">
        <v>677</v>
      </c>
      <c r="E172" t="s">
        <v>678</v>
      </c>
      <c r="F172" s="2" t="s">
        <v>285</v>
      </c>
      <c r="G172" s="4" t="s">
        <v>624</v>
      </c>
      <c r="H172" t="s">
        <v>31</v>
      </c>
    </row>
    <row r="173" spans="1:8" x14ac:dyDescent="0.3">
      <c r="A173" t="s">
        <v>521</v>
      </c>
      <c r="B173" t="s">
        <v>679</v>
      </c>
      <c r="C173" t="s">
        <v>680</v>
      </c>
      <c r="E173" t="s">
        <v>681</v>
      </c>
      <c r="F173" s="2" t="s">
        <v>682</v>
      </c>
      <c r="G173" s="4" t="s">
        <v>624</v>
      </c>
      <c r="H173" t="s">
        <v>328</v>
      </c>
    </row>
    <row r="174" spans="1:8" x14ac:dyDescent="0.3">
      <c r="A174" t="s">
        <v>521</v>
      </c>
      <c r="B174" t="s">
        <v>232</v>
      </c>
      <c r="C174" t="s">
        <v>683</v>
      </c>
      <c r="E174" t="s">
        <v>234</v>
      </c>
      <c r="F174" s="2" t="s">
        <v>235</v>
      </c>
      <c r="G174" s="4" t="s">
        <v>624</v>
      </c>
      <c r="H174" t="s">
        <v>290</v>
      </c>
    </row>
    <row r="175" spans="1:8" x14ac:dyDescent="0.3">
      <c r="A175" t="s">
        <v>521</v>
      </c>
      <c r="B175" t="s">
        <v>684</v>
      </c>
      <c r="C175" t="s">
        <v>685</v>
      </c>
      <c r="E175" t="s">
        <v>686</v>
      </c>
      <c r="F175" s="2" t="s">
        <v>687</v>
      </c>
      <c r="G175" s="4" t="s">
        <v>624</v>
      </c>
      <c r="H175" t="s">
        <v>515</v>
      </c>
    </row>
    <row r="176" spans="1:8" x14ac:dyDescent="0.3">
      <c r="A176" t="s">
        <v>521</v>
      </c>
      <c r="B176" t="s">
        <v>688</v>
      </c>
      <c r="C176" t="s">
        <v>689</v>
      </c>
      <c r="E176" t="s">
        <v>690</v>
      </c>
      <c r="F176" s="2" t="s">
        <v>691</v>
      </c>
      <c r="G176" s="4" t="s">
        <v>624</v>
      </c>
      <c r="H176" t="s">
        <v>31</v>
      </c>
    </row>
    <row r="177" spans="1:10" x14ac:dyDescent="0.3">
      <c r="A177" t="s">
        <v>521</v>
      </c>
      <c r="B177" t="s">
        <v>692</v>
      </c>
      <c r="C177" t="s">
        <v>693</v>
      </c>
      <c r="E177" t="s">
        <v>694</v>
      </c>
      <c r="F177" s="2" t="s">
        <v>695</v>
      </c>
      <c r="G177" s="4" t="s">
        <v>624</v>
      </c>
      <c r="H177" t="s">
        <v>515</v>
      </c>
      <c r="J177" t="s">
        <v>696</v>
      </c>
    </row>
    <row r="178" spans="1:10" x14ac:dyDescent="0.3">
      <c r="A178" t="s">
        <v>521</v>
      </c>
      <c r="B178" t="s">
        <v>697</v>
      </c>
      <c r="C178" t="s">
        <v>698</v>
      </c>
      <c r="E178" t="s">
        <v>699</v>
      </c>
      <c r="F178" s="2" t="s">
        <v>700</v>
      </c>
      <c r="G178" s="4" t="s">
        <v>624</v>
      </c>
      <c r="H178" t="s">
        <v>290</v>
      </c>
    </row>
    <row r="179" spans="1:10" x14ac:dyDescent="0.3">
      <c r="A179" t="s">
        <v>521</v>
      </c>
      <c r="B179" t="s">
        <v>701</v>
      </c>
      <c r="C179" t="s">
        <v>702</v>
      </c>
      <c r="E179" t="s">
        <v>703</v>
      </c>
      <c r="F179" s="2" t="s">
        <v>704</v>
      </c>
      <c r="G179" s="4" t="s">
        <v>624</v>
      </c>
      <c r="H179" t="s">
        <v>58</v>
      </c>
    </row>
    <row r="180" spans="1:10" x14ac:dyDescent="0.3">
      <c r="A180" t="s">
        <v>521</v>
      </c>
      <c r="B180" t="s">
        <v>705</v>
      </c>
      <c r="C180" t="s">
        <v>706</v>
      </c>
      <c r="E180" t="s">
        <v>707</v>
      </c>
      <c r="F180" s="2" t="s">
        <v>708</v>
      </c>
      <c r="G180" s="4" t="s">
        <v>624</v>
      </c>
      <c r="H180" t="s">
        <v>290</v>
      </c>
    </row>
    <row r="181" spans="1:10" x14ac:dyDescent="0.3">
      <c r="A181" t="s">
        <v>521</v>
      </c>
      <c r="B181" t="s">
        <v>709</v>
      </c>
      <c r="C181" t="s">
        <v>710</v>
      </c>
      <c r="E181" t="s">
        <v>711</v>
      </c>
      <c r="F181" s="2" t="s">
        <v>712</v>
      </c>
      <c r="G181" s="4" t="s">
        <v>624</v>
      </c>
      <c r="H181" t="s">
        <v>515</v>
      </c>
    </row>
    <row r="182" spans="1:10" x14ac:dyDescent="0.3">
      <c r="A182" t="s">
        <v>521</v>
      </c>
      <c r="B182" t="s">
        <v>713</v>
      </c>
      <c r="C182" t="s">
        <v>714</v>
      </c>
      <c r="E182" t="s">
        <v>715</v>
      </c>
      <c r="F182" s="2" t="s">
        <v>716</v>
      </c>
      <c r="G182" s="4" t="s">
        <v>624</v>
      </c>
      <c r="H182" t="s">
        <v>58</v>
      </c>
    </row>
    <row r="183" spans="1:10" x14ac:dyDescent="0.3">
      <c r="A183" t="s">
        <v>521</v>
      </c>
      <c r="B183" t="s">
        <v>717</v>
      </c>
      <c r="C183" t="s">
        <v>718</v>
      </c>
      <c r="E183" t="s">
        <v>719</v>
      </c>
      <c r="F183" s="2" t="s">
        <v>720</v>
      </c>
      <c r="G183" s="4" t="s">
        <v>624</v>
      </c>
      <c r="H183" t="s">
        <v>515</v>
      </c>
    </row>
    <row r="184" spans="1:10" x14ac:dyDescent="0.3">
      <c r="A184" t="s">
        <v>521</v>
      </c>
      <c r="B184" t="s">
        <v>721</v>
      </c>
      <c r="C184" t="s">
        <v>722</v>
      </c>
      <c r="E184" t="s">
        <v>723</v>
      </c>
      <c r="F184" s="2" t="s">
        <v>724</v>
      </c>
      <c r="G184" s="4" t="s">
        <v>624</v>
      </c>
      <c r="H184" t="s">
        <v>50</v>
      </c>
    </row>
    <row r="185" spans="1:10" x14ac:dyDescent="0.3">
      <c r="A185" t="s">
        <v>521</v>
      </c>
      <c r="B185" t="s">
        <v>725</v>
      </c>
      <c r="C185" t="s">
        <v>726</v>
      </c>
      <c r="E185" t="s">
        <v>727</v>
      </c>
      <c r="F185" s="2" t="s">
        <v>728</v>
      </c>
      <c r="G185" s="4" t="s">
        <v>624</v>
      </c>
      <c r="H185" t="s">
        <v>328</v>
      </c>
    </row>
    <row r="186" spans="1:10" x14ac:dyDescent="0.3">
      <c r="A186" t="s">
        <v>521</v>
      </c>
      <c r="B186" t="s">
        <v>729</v>
      </c>
      <c r="C186" t="s">
        <v>730</v>
      </c>
      <c r="E186" t="s">
        <v>731</v>
      </c>
      <c r="F186" s="2" t="s">
        <v>732</v>
      </c>
      <c r="G186" s="4" t="s">
        <v>624</v>
      </c>
      <c r="H186" t="s">
        <v>290</v>
      </c>
    </row>
    <row r="187" spans="1:10" x14ac:dyDescent="0.3">
      <c r="A187" t="s">
        <v>521</v>
      </c>
      <c r="B187" t="s">
        <v>733</v>
      </c>
      <c r="C187" t="s">
        <v>734</v>
      </c>
      <c r="E187" t="s">
        <v>735</v>
      </c>
      <c r="F187" s="2" t="s">
        <v>736</v>
      </c>
      <c r="G187" s="4" t="s">
        <v>624</v>
      </c>
      <c r="H187" t="s">
        <v>290</v>
      </c>
    </row>
    <row r="188" spans="1:10" x14ac:dyDescent="0.3">
      <c r="A188" t="s">
        <v>521</v>
      </c>
      <c r="B188" t="s">
        <v>737</v>
      </c>
      <c r="C188" t="s">
        <v>738</v>
      </c>
      <c r="E188" t="s">
        <v>739</v>
      </c>
      <c r="F188" s="2" t="s">
        <v>740</v>
      </c>
      <c r="G188" s="4" t="s">
        <v>624</v>
      </c>
      <c r="H188" t="s">
        <v>290</v>
      </c>
    </row>
    <row r="189" spans="1:10" x14ac:dyDescent="0.3">
      <c r="A189" t="s">
        <v>521</v>
      </c>
      <c r="B189" t="s">
        <v>741</v>
      </c>
      <c r="C189" t="s">
        <v>742</v>
      </c>
      <c r="E189" t="s">
        <v>743</v>
      </c>
      <c r="F189" s="2" t="s">
        <v>744</v>
      </c>
      <c r="G189" s="4" t="s">
        <v>624</v>
      </c>
      <c r="H189" t="s">
        <v>328</v>
      </c>
    </row>
    <row r="190" spans="1:10" x14ac:dyDescent="0.3">
      <c r="A190" t="s">
        <v>521</v>
      </c>
      <c r="B190" t="s">
        <v>745</v>
      </c>
      <c r="C190" t="s">
        <v>746</v>
      </c>
      <c r="E190" t="s">
        <v>747</v>
      </c>
      <c r="F190" s="2" t="s">
        <v>748</v>
      </c>
      <c r="G190" s="4" t="s">
        <v>624</v>
      </c>
      <c r="H190" t="s">
        <v>37</v>
      </c>
    </row>
    <row r="191" spans="1:10" x14ac:dyDescent="0.3">
      <c r="A191" t="s">
        <v>521</v>
      </c>
      <c r="B191" t="s">
        <v>749</v>
      </c>
      <c r="C191" t="s">
        <v>750</v>
      </c>
      <c r="E191" t="s">
        <v>751</v>
      </c>
      <c r="F191" s="2" t="s">
        <v>752</v>
      </c>
      <c r="G191" s="4" t="s">
        <v>624</v>
      </c>
      <c r="H191" t="s">
        <v>515</v>
      </c>
    </row>
    <row r="192" spans="1:10" x14ac:dyDescent="0.3">
      <c r="A192" t="s">
        <v>521</v>
      </c>
      <c r="B192" t="s">
        <v>753</v>
      </c>
      <c r="C192" t="s">
        <v>754</v>
      </c>
      <c r="E192" t="s">
        <v>755</v>
      </c>
      <c r="F192" s="2" t="s">
        <v>756</v>
      </c>
      <c r="G192" s="4" t="s">
        <v>624</v>
      </c>
      <c r="H192" t="s">
        <v>328</v>
      </c>
    </row>
    <row r="193" spans="1:8" x14ac:dyDescent="0.3">
      <c r="A193" t="s">
        <v>521</v>
      </c>
      <c r="B193" t="s">
        <v>757</v>
      </c>
      <c r="C193" t="s">
        <v>758</v>
      </c>
      <c r="E193" t="s">
        <v>759</v>
      </c>
      <c r="F193" s="2" t="s">
        <v>760</v>
      </c>
      <c r="G193" s="4" t="s">
        <v>624</v>
      </c>
      <c r="H193" t="s">
        <v>37</v>
      </c>
    </row>
    <row r="194" spans="1:8" x14ac:dyDescent="0.3">
      <c r="A194" t="s">
        <v>521</v>
      </c>
      <c r="B194" t="s">
        <v>761</v>
      </c>
      <c r="C194" t="s">
        <v>762</v>
      </c>
      <c r="E194" t="s">
        <v>763</v>
      </c>
      <c r="F194" s="2" t="s">
        <v>764</v>
      </c>
      <c r="G194" s="4" t="s">
        <v>624</v>
      </c>
      <c r="H194" t="s">
        <v>328</v>
      </c>
    </row>
    <row r="195" spans="1:8" x14ac:dyDescent="0.3">
      <c r="A195" t="s">
        <v>521</v>
      </c>
      <c r="B195" t="s">
        <v>765</v>
      </c>
      <c r="C195" t="s">
        <v>766</v>
      </c>
      <c r="E195" t="s">
        <v>767</v>
      </c>
      <c r="F195" s="2" t="s">
        <v>768</v>
      </c>
      <c r="G195" s="4" t="s">
        <v>624</v>
      </c>
      <c r="H195" t="s">
        <v>58</v>
      </c>
    </row>
    <row r="196" spans="1:8" x14ac:dyDescent="0.3">
      <c r="A196" t="s">
        <v>521</v>
      </c>
      <c r="B196" t="s">
        <v>769</v>
      </c>
      <c r="C196" t="s">
        <v>770</v>
      </c>
      <c r="E196" t="s">
        <v>771</v>
      </c>
      <c r="F196" s="2" t="s">
        <v>772</v>
      </c>
      <c r="G196" s="4" t="s">
        <v>624</v>
      </c>
      <c r="H196" t="s">
        <v>50</v>
      </c>
    </row>
    <row r="197" spans="1:8" x14ac:dyDescent="0.3">
      <c r="A197" t="s">
        <v>521</v>
      </c>
      <c r="B197" t="s">
        <v>773</v>
      </c>
      <c r="C197" t="s">
        <v>774</v>
      </c>
      <c r="E197" t="s">
        <v>775</v>
      </c>
      <c r="F197" s="2" t="s">
        <v>776</v>
      </c>
      <c r="G197" s="4" t="s">
        <v>624</v>
      </c>
      <c r="H197" t="s">
        <v>50</v>
      </c>
    </row>
    <row r="198" spans="1:8" x14ac:dyDescent="0.3">
      <c r="A198" t="s">
        <v>521</v>
      </c>
      <c r="B198" t="s">
        <v>39</v>
      </c>
      <c r="C198" t="s">
        <v>777</v>
      </c>
      <c r="E198" t="s">
        <v>778</v>
      </c>
      <c r="F198" s="2" t="s">
        <v>779</v>
      </c>
      <c r="G198" s="4" t="s">
        <v>624</v>
      </c>
      <c r="H198" t="s">
        <v>50</v>
      </c>
    </row>
    <row r="199" spans="1:8" x14ac:dyDescent="0.3">
      <c r="A199" t="s">
        <v>780</v>
      </c>
      <c r="B199" t="s">
        <v>781</v>
      </c>
      <c r="C199" t="s">
        <v>782</v>
      </c>
      <c r="D199" t="s">
        <v>783</v>
      </c>
      <c r="E199" t="s">
        <v>784</v>
      </c>
      <c r="F199" s="2" t="s">
        <v>785</v>
      </c>
      <c r="G199" s="4" t="s">
        <v>527</v>
      </c>
      <c r="H199" t="s">
        <v>449</v>
      </c>
    </row>
    <row r="200" spans="1:8" x14ac:dyDescent="0.3">
      <c r="A200" t="s">
        <v>780</v>
      </c>
      <c r="B200" t="s">
        <v>786</v>
      </c>
      <c r="C200" t="s">
        <v>787</v>
      </c>
      <c r="D200" t="s">
        <v>788</v>
      </c>
      <c r="E200" t="s">
        <v>789</v>
      </c>
      <c r="F200" s="2" t="s">
        <v>790</v>
      </c>
      <c r="G200" s="4" t="s">
        <v>527</v>
      </c>
      <c r="H200" t="s">
        <v>31</v>
      </c>
    </row>
    <row r="201" spans="1:8" x14ac:dyDescent="0.3">
      <c r="A201" t="s">
        <v>780</v>
      </c>
      <c r="B201" t="s">
        <v>791</v>
      </c>
      <c r="C201" t="s">
        <v>792</v>
      </c>
      <c r="D201" t="s">
        <v>793</v>
      </c>
      <c r="E201" t="s">
        <v>794</v>
      </c>
      <c r="F201" s="2" t="s">
        <v>795</v>
      </c>
      <c r="G201" s="4" t="s">
        <v>527</v>
      </c>
      <c r="H201" t="s">
        <v>16</v>
      </c>
    </row>
    <row r="202" spans="1:8" x14ac:dyDescent="0.3">
      <c r="A202" t="s">
        <v>780</v>
      </c>
      <c r="B202" t="s">
        <v>533</v>
      </c>
      <c r="C202" t="s">
        <v>796</v>
      </c>
      <c r="D202" t="s">
        <v>797</v>
      </c>
      <c r="E202" t="s">
        <v>536</v>
      </c>
      <c r="F202" s="2" t="s">
        <v>537</v>
      </c>
      <c r="G202" s="4" t="s">
        <v>538</v>
      </c>
      <c r="H202" t="s">
        <v>449</v>
      </c>
    </row>
    <row r="203" spans="1:8" x14ac:dyDescent="0.3">
      <c r="A203" t="s">
        <v>780</v>
      </c>
      <c r="B203" t="s">
        <v>798</v>
      </c>
      <c r="C203" t="s">
        <v>799</v>
      </c>
      <c r="D203" t="s">
        <v>800</v>
      </c>
      <c r="E203" t="s">
        <v>801</v>
      </c>
      <c r="F203" s="2" t="s">
        <v>802</v>
      </c>
      <c r="G203" s="4" t="s">
        <v>803</v>
      </c>
      <c r="H203" t="s">
        <v>31</v>
      </c>
    </row>
    <row r="204" spans="1:8" x14ac:dyDescent="0.3">
      <c r="A204" t="s">
        <v>780</v>
      </c>
      <c r="B204" t="s">
        <v>804</v>
      </c>
      <c r="C204" t="s">
        <v>805</v>
      </c>
      <c r="D204" t="s">
        <v>806</v>
      </c>
      <c r="E204" t="s">
        <v>807</v>
      </c>
      <c r="F204" s="2" t="s">
        <v>808</v>
      </c>
      <c r="G204" s="4" t="s">
        <v>803</v>
      </c>
      <c r="H204" t="s">
        <v>449</v>
      </c>
    </row>
    <row r="205" spans="1:8" x14ac:dyDescent="0.3">
      <c r="A205" t="s">
        <v>780</v>
      </c>
      <c r="B205" t="s">
        <v>809</v>
      </c>
      <c r="C205" t="s">
        <v>810</v>
      </c>
      <c r="D205" t="s">
        <v>811</v>
      </c>
      <c r="E205" t="s">
        <v>812</v>
      </c>
      <c r="F205" s="2" t="s">
        <v>813</v>
      </c>
      <c r="G205" s="4" t="s">
        <v>538</v>
      </c>
      <c r="H205" t="s">
        <v>449</v>
      </c>
    </row>
    <row r="206" spans="1:8" x14ac:dyDescent="0.3">
      <c r="A206" t="s">
        <v>780</v>
      </c>
      <c r="B206" t="s">
        <v>814</v>
      </c>
      <c r="C206" t="s">
        <v>815</v>
      </c>
      <c r="D206" t="s">
        <v>816</v>
      </c>
      <c r="E206" t="s">
        <v>817</v>
      </c>
      <c r="F206" s="2" t="s">
        <v>818</v>
      </c>
      <c r="G206" s="4" t="s">
        <v>538</v>
      </c>
      <c r="H206" t="s">
        <v>449</v>
      </c>
    </row>
    <row r="207" spans="1:8" x14ac:dyDescent="0.3">
      <c r="A207" t="s">
        <v>780</v>
      </c>
      <c r="B207" t="s">
        <v>819</v>
      </c>
      <c r="C207" t="s">
        <v>820</v>
      </c>
      <c r="D207" t="s">
        <v>821</v>
      </c>
      <c r="E207" t="s">
        <v>822</v>
      </c>
      <c r="F207" s="2" t="s">
        <v>823</v>
      </c>
      <c r="G207" s="4" t="s">
        <v>538</v>
      </c>
      <c r="H207" t="s">
        <v>449</v>
      </c>
    </row>
    <row r="208" spans="1:8" x14ac:dyDescent="0.3">
      <c r="A208" t="s">
        <v>780</v>
      </c>
      <c r="B208" t="s">
        <v>824</v>
      </c>
      <c r="C208" t="s">
        <v>825</v>
      </c>
      <c r="D208" t="s">
        <v>826</v>
      </c>
      <c r="E208" t="s">
        <v>827</v>
      </c>
      <c r="F208" s="2" t="s">
        <v>828</v>
      </c>
      <c r="G208" s="4" t="s">
        <v>527</v>
      </c>
      <c r="H208" t="s">
        <v>272</v>
      </c>
    </row>
    <row r="209" spans="1:8" x14ac:dyDescent="0.3">
      <c r="A209" t="s">
        <v>780</v>
      </c>
      <c r="B209" t="s">
        <v>829</v>
      </c>
      <c r="C209" t="s">
        <v>830</v>
      </c>
      <c r="D209" t="s">
        <v>831</v>
      </c>
      <c r="E209" t="s">
        <v>832</v>
      </c>
      <c r="F209" s="2" t="s">
        <v>833</v>
      </c>
      <c r="G209" s="4" t="s">
        <v>538</v>
      </c>
      <c r="H209" t="s">
        <v>37</v>
      </c>
    </row>
    <row r="210" spans="1:8" x14ac:dyDescent="0.3">
      <c r="A210" t="s">
        <v>780</v>
      </c>
      <c r="B210" t="s">
        <v>349</v>
      </c>
      <c r="C210" t="s">
        <v>350</v>
      </c>
      <c r="D210" t="s">
        <v>351</v>
      </c>
      <c r="E210" t="s">
        <v>834</v>
      </c>
      <c r="F210" s="2" t="s">
        <v>353</v>
      </c>
      <c r="G210" s="4" t="s">
        <v>538</v>
      </c>
      <c r="H210" t="s">
        <v>449</v>
      </c>
    </row>
    <row r="211" spans="1:8" x14ac:dyDescent="0.3">
      <c r="A211" t="s">
        <v>780</v>
      </c>
      <c r="B211" t="s">
        <v>835</v>
      </c>
      <c r="C211" t="s">
        <v>836</v>
      </c>
      <c r="D211" t="s">
        <v>837</v>
      </c>
      <c r="E211" t="s">
        <v>838</v>
      </c>
      <c r="F211" s="2" t="s">
        <v>839</v>
      </c>
      <c r="G211" s="4" t="s">
        <v>840</v>
      </c>
      <c r="H211" t="s">
        <v>328</v>
      </c>
    </row>
    <row r="212" spans="1:8" x14ac:dyDescent="0.3">
      <c r="A212" t="s">
        <v>780</v>
      </c>
      <c r="B212" t="s">
        <v>841</v>
      </c>
      <c r="C212" t="s">
        <v>842</v>
      </c>
      <c r="D212" t="s">
        <v>843</v>
      </c>
      <c r="E212" t="s">
        <v>844</v>
      </c>
      <c r="F212" s="2" t="s">
        <v>845</v>
      </c>
      <c r="G212" s="4" t="s">
        <v>624</v>
      </c>
      <c r="H212" t="s">
        <v>272</v>
      </c>
    </row>
    <row r="213" spans="1:8" x14ac:dyDescent="0.3">
      <c r="A213" t="s">
        <v>780</v>
      </c>
      <c r="B213" t="s">
        <v>153</v>
      </c>
      <c r="C213" t="s">
        <v>846</v>
      </c>
      <c r="D213" t="s">
        <v>847</v>
      </c>
      <c r="E213" t="s">
        <v>155</v>
      </c>
      <c r="F213" s="2" t="s">
        <v>848</v>
      </c>
      <c r="G213" s="4" t="s">
        <v>624</v>
      </c>
      <c r="H213" t="s">
        <v>272</v>
      </c>
    </row>
    <row r="214" spans="1:8" x14ac:dyDescent="0.3">
      <c r="A214" t="s">
        <v>780</v>
      </c>
      <c r="B214" t="s">
        <v>121</v>
      </c>
      <c r="C214" t="s">
        <v>122</v>
      </c>
      <c r="D214" t="s">
        <v>849</v>
      </c>
      <c r="E214" t="s">
        <v>123</v>
      </c>
      <c r="F214" s="2" t="s">
        <v>124</v>
      </c>
      <c r="G214" s="4" t="s">
        <v>624</v>
      </c>
      <c r="H214" t="s">
        <v>272</v>
      </c>
    </row>
    <row r="215" spans="1:8" x14ac:dyDescent="0.3">
      <c r="A215" t="s">
        <v>780</v>
      </c>
      <c r="B215" t="s">
        <v>850</v>
      </c>
      <c r="C215" t="s">
        <v>851</v>
      </c>
      <c r="D215" t="s">
        <v>852</v>
      </c>
      <c r="E215" t="s">
        <v>853</v>
      </c>
      <c r="F215" s="2" t="s">
        <v>854</v>
      </c>
      <c r="G215" s="4" t="s">
        <v>624</v>
      </c>
      <c r="H215" t="s">
        <v>58</v>
      </c>
    </row>
    <row r="216" spans="1:8" x14ac:dyDescent="0.3">
      <c r="A216" t="s">
        <v>780</v>
      </c>
      <c r="B216" t="s">
        <v>232</v>
      </c>
      <c r="C216" t="s">
        <v>233</v>
      </c>
      <c r="D216" t="s">
        <v>855</v>
      </c>
      <c r="E216" t="s">
        <v>234</v>
      </c>
      <c r="F216" s="2" t="s">
        <v>235</v>
      </c>
      <c r="G216" s="4" t="s">
        <v>624</v>
      </c>
      <c r="H216" t="s">
        <v>272</v>
      </c>
    </row>
    <row r="217" spans="1:8" x14ac:dyDescent="0.3">
      <c r="A217" t="s">
        <v>780</v>
      </c>
      <c r="B217" t="s">
        <v>856</v>
      </c>
      <c r="C217" t="s">
        <v>857</v>
      </c>
      <c r="D217" t="s">
        <v>858</v>
      </c>
      <c r="E217" t="s">
        <v>731</v>
      </c>
      <c r="F217" s="2" t="s">
        <v>732</v>
      </c>
      <c r="G217" s="4" t="s">
        <v>624</v>
      </c>
      <c r="H217" t="s">
        <v>31</v>
      </c>
    </row>
    <row r="218" spans="1:8" x14ac:dyDescent="0.3">
      <c r="A218" t="s">
        <v>780</v>
      </c>
      <c r="B218" t="s">
        <v>859</v>
      </c>
      <c r="C218" t="s">
        <v>860</v>
      </c>
      <c r="D218" t="s">
        <v>861</v>
      </c>
      <c r="E218" t="s">
        <v>862</v>
      </c>
      <c r="F218" s="2" t="s">
        <v>863</v>
      </c>
      <c r="G218" s="4" t="s">
        <v>624</v>
      </c>
      <c r="H218" t="s">
        <v>5</v>
      </c>
    </row>
    <row r="219" spans="1:8" x14ac:dyDescent="0.3">
      <c r="A219" t="s">
        <v>780</v>
      </c>
      <c r="B219" t="s">
        <v>864</v>
      </c>
      <c r="C219" t="s">
        <v>865</v>
      </c>
      <c r="D219" t="s">
        <v>866</v>
      </c>
      <c r="E219" t="s">
        <v>867</v>
      </c>
      <c r="F219" s="2" t="s">
        <v>868</v>
      </c>
      <c r="G219" s="4" t="s">
        <v>624</v>
      </c>
      <c r="H219" t="s">
        <v>37</v>
      </c>
    </row>
    <row r="220" spans="1:8" x14ac:dyDescent="0.3">
      <c r="A220" t="s">
        <v>780</v>
      </c>
      <c r="B220" t="s">
        <v>869</v>
      </c>
      <c r="C220" t="s">
        <v>870</v>
      </c>
      <c r="D220" t="s">
        <v>871</v>
      </c>
      <c r="E220" t="s">
        <v>872</v>
      </c>
      <c r="F220" s="2" t="s">
        <v>873</v>
      </c>
      <c r="G220" s="4" t="s">
        <v>624</v>
      </c>
      <c r="H220" t="s">
        <v>5</v>
      </c>
    </row>
    <row r="221" spans="1:8" x14ac:dyDescent="0.3">
      <c r="A221" t="s">
        <v>780</v>
      </c>
      <c r="B221" t="s">
        <v>39</v>
      </c>
      <c r="C221" t="s">
        <v>777</v>
      </c>
      <c r="E221" t="s">
        <v>778</v>
      </c>
      <c r="F221" s="2" t="s">
        <v>779</v>
      </c>
      <c r="G221" s="4" t="s">
        <v>624</v>
      </c>
      <c r="H221" t="s">
        <v>58</v>
      </c>
    </row>
    <row r="222" spans="1:8" x14ac:dyDescent="0.3">
      <c r="A222" t="s">
        <v>780</v>
      </c>
      <c r="B222" t="s">
        <v>874</v>
      </c>
      <c r="C222" t="s">
        <v>875</v>
      </c>
      <c r="E222" t="s">
        <v>876</v>
      </c>
      <c r="F222" s="2" t="s">
        <v>877</v>
      </c>
      <c r="G222" s="4" t="s">
        <v>624</v>
      </c>
      <c r="H222" t="s">
        <v>5</v>
      </c>
    </row>
    <row r="223" spans="1:8" x14ac:dyDescent="0.3">
      <c r="A223" t="s">
        <v>780</v>
      </c>
      <c r="B223" t="s">
        <v>661</v>
      </c>
      <c r="C223" t="s">
        <v>878</v>
      </c>
      <c r="E223" t="s">
        <v>663</v>
      </c>
      <c r="F223" s="2" t="s">
        <v>664</v>
      </c>
      <c r="G223" s="4" t="s">
        <v>624</v>
      </c>
      <c r="H223" t="s">
        <v>290</v>
      </c>
    </row>
    <row r="224" spans="1:8" x14ac:dyDescent="0.3">
      <c r="A224" t="s">
        <v>780</v>
      </c>
      <c r="B224" t="s">
        <v>879</v>
      </c>
      <c r="C224" t="s">
        <v>880</v>
      </c>
      <c r="E224" t="s">
        <v>881</v>
      </c>
      <c r="F224" s="2" t="s">
        <v>882</v>
      </c>
      <c r="G224" s="4" t="s">
        <v>538</v>
      </c>
      <c r="H224" t="s">
        <v>5</v>
      </c>
    </row>
    <row r="225" spans="1:8" x14ac:dyDescent="0.3">
      <c r="A225" t="s">
        <v>780</v>
      </c>
      <c r="B225" t="s">
        <v>688</v>
      </c>
      <c r="C225" t="s">
        <v>883</v>
      </c>
      <c r="E225" t="s">
        <v>690</v>
      </c>
      <c r="F225" s="2" t="s">
        <v>691</v>
      </c>
      <c r="G225" s="4" t="s">
        <v>624</v>
      </c>
      <c r="H225" t="s">
        <v>31</v>
      </c>
    </row>
    <row r="226" spans="1:8" x14ac:dyDescent="0.3">
      <c r="A226" t="s">
        <v>780</v>
      </c>
      <c r="B226" t="s">
        <v>884</v>
      </c>
      <c r="C226" t="s">
        <v>885</v>
      </c>
      <c r="E226" t="s">
        <v>886</v>
      </c>
      <c r="F226" s="2" t="s">
        <v>887</v>
      </c>
      <c r="G226" s="4" t="s">
        <v>624</v>
      </c>
      <c r="H226" t="s">
        <v>290</v>
      </c>
    </row>
    <row r="227" spans="1:8" x14ac:dyDescent="0.3">
      <c r="A227" t="s">
        <v>780</v>
      </c>
      <c r="B227" t="s">
        <v>888</v>
      </c>
      <c r="C227" t="s">
        <v>889</v>
      </c>
      <c r="E227" t="s">
        <v>890</v>
      </c>
      <c r="F227" s="2" t="s">
        <v>891</v>
      </c>
      <c r="G227" s="4" t="s">
        <v>624</v>
      </c>
      <c r="H227" t="s">
        <v>290</v>
      </c>
    </row>
    <row r="228" spans="1:8" x14ac:dyDescent="0.3">
      <c r="A228" t="s">
        <v>780</v>
      </c>
      <c r="B228" t="s">
        <v>892</v>
      </c>
      <c r="C228" t="s">
        <v>893</v>
      </c>
      <c r="E228" t="s">
        <v>894</v>
      </c>
      <c r="F228" s="2" t="s">
        <v>895</v>
      </c>
      <c r="G228" s="4" t="s">
        <v>624</v>
      </c>
      <c r="H228" t="s">
        <v>328</v>
      </c>
    </row>
    <row r="229" spans="1:8" x14ac:dyDescent="0.3">
      <c r="A229" t="s">
        <v>780</v>
      </c>
      <c r="B229" t="s">
        <v>701</v>
      </c>
      <c r="C229" t="s">
        <v>896</v>
      </c>
      <c r="E229" t="s">
        <v>703</v>
      </c>
      <c r="F229" s="2" t="s">
        <v>704</v>
      </c>
      <c r="G229" s="4" t="s">
        <v>624</v>
      </c>
      <c r="H229" t="s">
        <v>58</v>
      </c>
    </row>
    <row r="230" spans="1:8" x14ac:dyDescent="0.3">
      <c r="A230" t="s">
        <v>780</v>
      </c>
      <c r="B230" t="s">
        <v>897</v>
      </c>
      <c r="C230" t="s">
        <v>898</v>
      </c>
      <c r="E230" t="s">
        <v>899</v>
      </c>
      <c r="F230" s="2" t="s">
        <v>900</v>
      </c>
      <c r="G230" s="4" t="s">
        <v>624</v>
      </c>
      <c r="H230" t="s">
        <v>515</v>
      </c>
    </row>
    <row r="231" spans="1:8" x14ac:dyDescent="0.3">
      <c r="A231" t="s">
        <v>780</v>
      </c>
      <c r="B231" t="s">
        <v>901</v>
      </c>
      <c r="C231" t="s">
        <v>902</v>
      </c>
      <c r="E231" t="s">
        <v>903</v>
      </c>
      <c r="F231" s="2" t="s">
        <v>904</v>
      </c>
      <c r="G231" s="4" t="s">
        <v>624</v>
      </c>
      <c r="H231" t="s">
        <v>290</v>
      </c>
    </row>
    <row r="232" spans="1:8" x14ac:dyDescent="0.3">
      <c r="A232" t="s">
        <v>780</v>
      </c>
      <c r="B232" t="s">
        <v>725</v>
      </c>
      <c r="C232" t="s">
        <v>905</v>
      </c>
      <c r="E232" t="s">
        <v>906</v>
      </c>
      <c r="F232" s="2" t="s">
        <v>728</v>
      </c>
      <c r="G232" s="4" t="s">
        <v>624</v>
      </c>
      <c r="H232" t="s">
        <v>290</v>
      </c>
    </row>
    <row r="233" spans="1:8" x14ac:dyDescent="0.3">
      <c r="A233" t="s">
        <v>780</v>
      </c>
      <c r="B233" t="s">
        <v>907</v>
      </c>
      <c r="C233" t="s">
        <v>908</v>
      </c>
      <c r="E233" t="s">
        <v>909</v>
      </c>
      <c r="F233" s="2" t="s">
        <v>910</v>
      </c>
      <c r="G233" s="4" t="s">
        <v>624</v>
      </c>
      <c r="H233" t="s">
        <v>290</v>
      </c>
    </row>
    <row r="234" spans="1:8" x14ac:dyDescent="0.3">
      <c r="A234" t="s">
        <v>780</v>
      </c>
      <c r="B234" t="s">
        <v>236</v>
      </c>
      <c r="C234" t="s">
        <v>911</v>
      </c>
      <c r="E234" t="s">
        <v>912</v>
      </c>
      <c r="F234" s="2" t="s">
        <v>913</v>
      </c>
      <c r="G234" s="4" t="s">
        <v>624</v>
      </c>
      <c r="H234" t="s">
        <v>328</v>
      </c>
    </row>
    <row r="235" spans="1:8" x14ac:dyDescent="0.3">
      <c r="A235" t="s">
        <v>780</v>
      </c>
      <c r="B235" t="s">
        <v>914</v>
      </c>
      <c r="C235" t="s">
        <v>706</v>
      </c>
      <c r="E235" t="s">
        <v>915</v>
      </c>
      <c r="F235" s="2" t="s">
        <v>916</v>
      </c>
      <c r="G235" s="4" t="s">
        <v>624</v>
      </c>
      <c r="H235" t="s">
        <v>37</v>
      </c>
    </row>
    <row r="236" spans="1:8" x14ac:dyDescent="0.3">
      <c r="A236" t="s">
        <v>780</v>
      </c>
      <c r="B236" t="s">
        <v>508</v>
      </c>
      <c r="C236" t="s">
        <v>917</v>
      </c>
      <c r="E236" t="s">
        <v>509</v>
      </c>
      <c r="F236" s="2" t="s">
        <v>510</v>
      </c>
      <c r="G236" s="4" t="s">
        <v>624</v>
      </c>
      <c r="H236" t="s">
        <v>58</v>
      </c>
    </row>
    <row r="237" spans="1:8" x14ac:dyDescent="0.3">
      <c r="A237" t="s">
        <v>780</v>
      </c>
      <c r="B237" t="s">
        <v>918</v>
      </c>
      <c r="C237" t="s">
        <v>919</v>
      </c>
      <c r="E237" t="s">
        <v>920</v>
      </c>
      <c r="F237" s="2" t="s">
        <v>921</v>
      </c>
      <c r="G237" s="4" t="s">
        <v>624</v>
      </c>
      <c r="H237" t="s">
        <v>328</v>
      </c>
    </row>
    <row r="238" spans="1:8" x14ac:dyDescent="0.3">
      <c r="A238" t="s">
        <v>780</v>
      </c>
      <c r="B238" t="s">
        <v>922</v>
      </c>
      <c r="C238" t="s">
        <v>923</v>
      </c>
      <c r="E238" t="s">
        <v>924</v>
      </c>
      <c r="F238" s="2" t="s">
        <v>925</v>
      </c>
      <c r="G238" s="4" t="s">
        <v>624</v>
      </c>
      <c r="H238" t="s">
        <v>37</v>
      </c>
    </row>
    <row r="239" spans="1:8" x14ac:dyDescent="0.3">
      <c r="A239" t="s">
        <v>780</v>
      </c>
      <c r="B239" t="s">
        <v>926</v>
      </c>
      <c r="C239" t="s">
        <v>927</v>
      </c>
      <c r="E239" t="s">
        <v>928</v>
      </c>
      <c r="F239" s="2" t="s">
        <v>929</v>
      </c>
      <c r="G239" s="4" t="s">
        <v>624</v>
      </c>
      <c r="H239" t="s">
        <v>43</v>
      </c>
    </row>
    <row r="240" spans="1:8" x14ac:dyDescent="0.3">
      <c r="A240" t="s">
        <v>780</v>
      </c>
      <c r="B240" t="s">
        <v>930</v>
      </c>
      <c r="C240" t="s">
        <v>931</v>
      </c>
      <c r="E240" t="s">
        <v>932</v>
      </c>
      <c r="F240" s="2" t="s">
        <v>933</v>
      </c>
      <c r="G240" s="4" t="s">
        <v>624</v>
      </c>
      <c r="H240" t="s">
        <v>58</v>
      </c>
    </row>
    <row r="241" spans="1:10" x14ac:dyDescent="0.3">
      <c r="A241" t="s">
        <v>780</v>
      </c>
      <c r="B241" t="s">
        <v>934</v>
      </c>
      <c r="C241" t="s">
        <v>935</v>
      </c>
      <c r="E241" t="s">
        <v>936</v>
      </c>
      <c r="F241" s="2" t="s">
        <v>937</v>
      </c>
      <c r="G241" s="4" t="s">
        <v>624</v>
      </c>
      <c r="H241" t="s">
        <v>58</v>
      </c>
      <c r="J241" t="s">
        <v>306</v>
      </c>
    </row>
    <row r="242" spans="1:10" x14ac:dyDescent="0.3">
      <c r="A242" t="s">
        <v>780</v>
      </c>
      <c r="B242" t="s">
        <v>938</v>
      </c>
      <c r="C242" t="s">
        <v>939</v>
      </c>
      <c r="E242" t="s">
        <v>940</v>
      </c>
      <c r="F242" s="2" t="s">
        <v>941</v>
      </c>
      <c r="G242" s="4" t="s">
        <v>624</v>
      </c>
      <c r="H242" t="s">
        <v>43</v>
      </c>
    </row>
    <row r="243" spans="1:10" x14ac:dyDescent="0.3">
      <c r="A243" t="s">
        <v>780</v>
      </c>
      <c r="B243" t="s">
        <v>942</v>
      </c>
      <c r="C243" t="s">
        <v>943</v>
      </c>
      <c r="E243" t="s">
        <v>944</v>
      </c>
      <c r="F243" s="2" t="s">
        <v>945</v>
      </c>
      <c r="G243" s="4" t="s">
        <v>624</v>
      </c>
      <c r="H243" t="s">
        <v>328</v>
      </c>
    </row>
    <row r="244" spans="1:10" x14ac:dyDescent="0.3">
      <c r="A244" t="s">
        <v>780</v>
      </c>
      <c r="B244" t="s">
        <v>946</v>
      </c>
      <c r="C244" t="s">
        <v>947</v>
      </c>
      <c r="E244" t="s">
        <v>948</v>
      </c>
      <c r="F244" s="2" t="s">
        <v>949</v>
      </c>
      <c r="G244" s="4" t="s">
        <v>624</v>
      </c>
      <c r="H244" t="s">
        <v>328</v>
      </c>
    </row>
    <row r="245" spans="1:10" x14ac:dyDescent="0.3">
      <c r="A245" t="s">
        <v>780</v>
      </c>
      <c r="B245" t="s">
        <v>950</v>
      </c>
      <c r="C245" t="s">
        <v>951</v>
      </c>
      <c r="E245" t="s">
        <v>952</v>
      </c>
      <c r="F245" s="2" t="s">
        <v>953</v>
      </c>
      <c r="G245" s="4" t="s">
        <v>624</v>
      </c>
      <c r="H245" t="s">
        <v>58</v>
      </c>
    </row>
    <row r="246" spans="1:10" x14ac:dyDescent="0.3">
      <c r="A246" t="s">
        <v>780</v>
      </c>
      <c r="B246" t="s">
        <v>954</v>
      </c>
      <c r="C246" t="s">
        <v>955</v>
      </c>
      <c r="E246" t="s">
        <v>956</v>
      </c>
      <c r="F246" s="2" t="s">
        <v>957</v>
      </c>
      <c r="G246" s="4" t="s">
        <v>624</v>
      </c>
      <c r="H246" t="s">
        <v>43</v>
      </c>
    </row>
    <row r="247" spans="1:10" x14ac:dyDescent="0.3">
      <c r="A247" t="s">
        <v>780</v>
      </c>
      <c r="B247" t="s">
        <v>958</v>
      </c>
      <c r="C247" t="s">
        <v>959</v>
      </c>
      <c r="E247" t="s">
        <v>960</v>
      </c>
      <c r="F247" s="2" t="s">
        <v>961</v>
      </c>
      <c r="G247" s="4" t="s">
        <v>624</v>
      </c>
      <c r="H247" t="s">
        <v>328</v>
      </c>
    </row>
    <row r="248" spans="1:10" x14ac:dyDescent="0.3">
      <c r="A248" t="s">
        <v>780</v>
      </c>
      <c r="B248" t="s">
        <v>962</v>
      </c>
      <c r="C248" t="s">
        <v>963</v>
      </c>
      <c r="E248" t="s">
        <v>964</v>
      </c>
      <c r="F248" s="2" t="s">
        <v>965</v>
      </c>
      <c r="G248" s="4" t="s">
        <v>624</v>
      </c>
      <c r="H248" t="s">
        <v>43</v>
      </c>
    </row>
    <row r="249" spans="1:10" x14ac:dyDescent="0.3">
      <c r="A249" t="s">
        <v>780</v>
      </c>
      <c r="B249" t="s">
        <v>966</v>
      </c>
      <c r="C249" t="s">
        <v>967</v>
      </c>
      <c r="E249" t="s">
        <v>968</v>
      </c>
      <c r="F249" s="2" t="s">
        <v>969</v>
      </c>
      <c r="G249" s="4" t="s">
        <v>624</v>
      </c>
      <c r="H249" t="s">
        <v>37</v>
      </c>
    </row>
    <row r="250" spans="1:10" x14ac:dyDescent="0.3">
      <c r="A250" t="s">
        <v>780</v>
      </c>
      <c r="B250" t="s">
        <v>970</v>
      </c>
      <c r="C250" t="s">
        <v>971</v>
      </c>
      <c r="E250" t="s">
        <v>972</v>
      </c>
      <c r="F250" s="2" t="s">
        <v>973</v>
      </c>
      <c r="G250" s="4" t="s">
        <v>624</v>
      </c>
      <c r="H250" t="s">
        <v>37</v>
      </c>
    </row>
    <row r="251" spans="1:10" x14ac:dyDescent="0.3">
      <c r="A251" t="s">
        <v>780</v>
      </c>
      <c r="B251" t="s">
        <v>974</v>
      </c>
      <c r="C251" t="s">
        <v>975</v>
      </c>
      <c r="E251" t="s">
        <v>976</v>
      </c>
      <c r="F251" s="2" t="s">
        <v>977</v>
      </c>
      <c r="G251" s="4" t="s">
        <v>624</v>
      </c>
      <c r="H251" t="s">
        <v>50</v>
      </c>
      <c r="J251" t="s">
        <v>306</v>
      </c>
    </row>
    <row r="252" spans="1:10" x14ac:dyDescent="0.3">
      <c r="A252" t="s">
        <v>780</v>
      </c>
      <c r="B252" t="s">
        <v>888</v>
      </c>
      <c r="C252" t="s">
        <v>889</v>
      </c>
      <c r="E252" t="s">
        <v>890</v>
      </c>
      <c r="F252" s="2" t="s">
        <v>891</v>
      </c>
      <c r="G252" s="4" t="s">
        <v>624</v>
      </c>
      <c r="H252" t="s">
        <v>515</v>
      </c>
    </row>
    <row r="253" spans="1:10" x14ac:dyDescent="0.3">
      <c r="A253" t="s">
        <v>780</v>
      </c>
      <c r="B253" t="s">
        <v>978</v>
      </c>
      <c r="C253" t="s">
        <v>979</v>
      </c>
      <c r="E253" t="s">
        <v>980</v>
      </c>
      <c r="F253" s="2" t="s">
        <v>981</v>
      </c>
      <c r="G253" s="4" t="s">
        <v>624</v>
      </c>
      <c r="H253" t="s">
        <v>515</v>
      </c>
    </row>
    <row r="254" spans="1:10" x14ac:dyDescent="0.3">
      <c r="A254" t="s">
        <v>780</v>
      </c>
      <c r="B254" t="s">
        <v>982</v>
      </c>
      <c r="C254" t="s">
        <v>983</v>
      </c>
      <c r="E254" t="s">
        <v>984</v>
      </c>
      <c r="F254" s="2" t="s">
        <v>985</v>
      </c>
      <c r="G254" s="4" t="s">
        <v>624</v>
      </c>
      <c r="H254" t="s">
        <v>515</v>
      </c>
    </row>
    <row r="255" spans="1:10" x14ac:dyDescent="0.3">
      <c r="A255" t="s">
        <v>780</v>
      </c>
      <c r="B255" t="s">
        <v>597</v>
      </c>
      <c r="C255" t="s">
        <v>986</v>
      </c>
      <c r="E255" t="s">
        <v>987</v>
      </c>
      <c r="F255" s="2" t="s">
        <v>988</v>
      </c>
      <c r="G255" s="4" t="s">
        <v>624</v>
      </c>
      <c r="H255" t="s">
        <v>58</v>
      </c>
    </row>
    <row r="256" spans="1:10" x14ac:dyDescent="0.3">
      <c r="A256" t="s">
        <v>780</v>
      </c>
      <c r="B256" t="s">
        <v>989</v>
      </c>
      <c r="C256" t="s">
        <v>990</v>
      </c>
      <c r="E256" t="s">
        <v>991</v>
      </c>
      <c r="F256" s="2" t="s">
        <v>992</v>
      </c>
      <c r="G256" s="4" t="s">
        <v>624</v>
      </c>
      <c r="H256" t="s">
        <v>515</v>
      </c>
    </row>
    <row r="257" spans="1:8" x14ac:dyDescent="0.3">
      <c r="A257" t="s">
        <v>780</v>
      </c>
      <c r="B257" t="s">
        <v>993</v>
      </c>
      <c r="C257" t="s">
        <v>994</v>
      </c>
      <c r="E257" t="s">
        <v>995</v>
      </c>
      <c r="F257" s="2" t="s">
        <v>996</v>
      </c>
      <c r="G257" s="4" t="s">
        <v>624</v>
      </c>
      <c r="H257" t="s">
        <v>43</v>
      </c>
    </row>
    <row r="258" spans="1:8" x14ac:dyDescent="0.3">
      <c r="A258" t="s">
        <v>780</v>
      </c>
      <c r="B258" t="s">
        <v>367</v>
      </c>
      <c r="C258" t="s">
        <v>997</v>
      </c>
      <c r="E258" t="s">
        <v>398</v>
      </c>
      <c r="F258" s="2" t="s">
        <v>399</v>
      </c>
      <c r="G258" s="4" t="s">
        <v>624</v>
      </c>
      <c r="H258" t="s">
        <v>37</v>
      </c>
    </row>
    <row r="259" spans="1:8" x14ac:dyDescent="0.3">
      <c r="A259" t="s">
        <v>998</v>
      </c>
      <c r="B259" t="s">
        <v>999</v>
      </c>
      <c r="C259" t="s">
        <v>1000</v>
      </c>
      <c r="D259" t="s">
        <v>1001</v>
      </c>
      <c r="E259" t="s">
        <v>1002</v>
      </c>
      <c r="F259" s="2" t="s">
        <v>1003</v>
      </c>
      <c r="G259" s="4" t="s">
        <v>538</v>
      </c>
      <c r="H259" t="s">
        <v>569</v>
      </c>
    </row>
    <row r="260" spans="1:8" x14ac:dyDescent="0.3">
      <c r="A260" t="s">
        <v>998</v>
      </c>
      <c r="B260" t="s">
        <v>1004</v>
      </c>
      <c r="C260" t="s">
        <v>1005</v>
      </c>
      <c r="D260" t="s">
        <v>1006</v>
      </c>
      <c r="E260" t="s">
        <v>1007</v>
      </c>
      <c r="F260" s="2" t="s">
        <v>1008</v>
      </c>
      <c r="G260" s="4" t="s">
        <v>538</v>
      </c>
      <c r="H260" t="s">
        <v>449</v>
      </c>
    </row>
    <row r="261" spans="1:8" x14ac:dyDescent="0.3">
      <c r="A261" t="s">
        <v>998</v>
      </c>
      <c r="B261" t="s">
        <v>1009</v>
      </c>
      <c r="C261" t="s">
        <v>1010</v>
      </c>
      <c r="D261" t="s">
        <v>1011</v>
      </c>
      <c r="E261" t="s">
        <v>1012</v>
      </c>
      <c r="F261" s="2" t="s">
        <v>1013</v>
      </c>
      <c r="G261" s="4" t="s">
        <v>538</v>
      </c>
      <c r="H261" t="s">
        <v>569</v>
      </c>
    </row>
    <row r="262" spans="1:8" x14ac:dyDescent="0.3">
      <c r="A262" t="s">
        <v>998</v>
      </c>
      <c r="B262" t="s">
        <v>39</v>
      </c>
      <c r="C262" t="s">
        <v>777</v>
      </c>
      <c r="D262" t="s">
        <v>1014</v>
      </c>
      <c r="E262" t="s">
        <v>1015</v>
      </c>
      <c r="F262" s="2" t="s">
        <v>779</v>
      </c>
      <c r="G262" s="4" t="s">
        <v>538</v>
      </c>
      <c r="H262" t="s">
        <v>272</v>
      </c>
    </row>
    <row r="263" spans="1:8" x14ac:dyDescent="0.3">
      <c r="A263" t="s">
        <v>998</v>
      </c>
      <c r="B263" t="s">
        <v>1016</v>
      </c>
      <c r="C263" t="s">
        <v>1017</v>
      </c>
      <c r="D263" t="s">
        <v>1018</v>
      </c>
      <c r="E263" t="s">
        <v>1019</v>
      </c>
      <c r="F263" s="2" t="s">
        <v>1020</v>
      </c>
      <c r="G263" s="4" t="s">
        <v>538</v>
      </c>
      <c r="H263" t="s">
        <v>449</v>
      </c>
    </row>
    <row r="264" spans="1:8" x14ac:dyDescent="0.3">
      <c r="A264" t="s">
        <v>998</v>
      </c>
      <c r="B264" t="s">
        <v>539</v>
      </c>
      <c r="C264" t="s">
        <v>540</v>
      </c>
      <c r="D264" t="s">
        <v>541</v>
      </c>
      <c r="E264" t="s">
        <v>542</v>
      </c>
      <c r="F264" s="2" t="s">
        <v>543</v>
      </c>
      <c r="G264" s="4" t="s">
        <v>538</v>
      </c>
      <c r="H264" t="s">
        <v>16</v>
      </c>
    </row>
    <row r="265" spans="1:8" x14ac:dyDescent="0.3">
      <c r="A265" t="s">
        <v>998</v>
      </c>
      <c r="B265" t="s">
        <v>1021</v>
      </c>
      <c r="C265" t="s">
        <v>1022</v>
      </c>
      <c r="D265" t="s">
        <v>1023</v>
      </c>
      <c r="E265" t="s">
        <v>1024</v>
      </c>
      <c r="F265" s="2" t="s">
        <v>1025</v>
      </c>
      <c r="G265" s="4" t="s">
        <v>538</v>
      </c>
      <c r="H265" t="s">
        <v>449</v>
      </c>
    </row>
    <row r="266" spans="1:8" x14ac:dyDescent="0.3">
      <c r="A266" t="s">
        <v>998</v>
      </c>
      <c r="B266" t="s">
        <v>1026</v>
      </c>
      <c r="C266" t="s">
        <v>1027</v>
      </c>
      <c r="D266" t="s">
        <v>1028</v>
      </c>
      <c r="E266" t="s">
        <v>1029</v>
      </c>
      <c r="F266" s="2" t="s">
        <v>1030</v>
      </c>
      <c r="G266" s="4" t="s">
        <v>538</v>
      </c>
      <c r="H266" t="s">
        <v>449</v>
      </c>
    </row>
    <row r="267" spans="1:8" x14ac:dyDescent="0.3">
      <c r="A267" t="s">
        <v>998</v>
      </c>
      <c r="B267" t="s">
        <v>443</v>
      </c>
      <c r="C267" t="s">
        <v>444</v>
      </c>
      <c r="D267" t="s">
        <v>445</v>
      </c>
      <c r="E267" t="s">
        <v>446</v>
      </c>
      <c r="F267" s="2" t="s">
        <v>447</v>
      </c>
      <c r="G267" s="4" t="s">
        <v>538</v>
      </c>
      <c r="H267" t="s">
        <v>449</v>
      </c>
    </row>
    <row r="268" spans="1:8" x14ac:dyDescent="0.3">
      <c r="A268" t="s">
        <v>998</v>
      </c>
      <c r="B268" t="s">
        <v>450</v>
      </c>
      <c r="C268" t="s">
        <v>451</v>
      </c>
      <c r="D268" t="s">
        <v>452</v>
      </c>
      <c r="E268" t="s">
        <v>453</v>
      </c>
      <c r="F268" s="2" t="s">
        <v>454</v>
      </c>
      <c r="G268" s="4" t="s">
        <v>538</v>
      </c>
      <c r="H268" t="s">
        <v>449</v>
      </c>
    </row>
    <row r="269" spans="1:8" x14ac:dyDescent="0.3">
      <c r="A269" t="s">
        <v>998</v>
      </c>
      <c r="B269" t="s">
        <v>109</v>
      </c>
      <c r="C269" t="s">
        <v>1031</v>
      </c>
      <c r="D269" t="s">
        <v>1032</v>
      </c>
      <c r="E269" t="s">
        <v>1033</v>
      </c>
      <c r="F269" s="2" t="s">
        <v>1034</v>
      </c>
      <c r="G269" s="4" t="s">
        <v>538</v>
      </c>
      <c r="H269" t="s">
        <v>449</v>
      </c>
    </row>
    <row r="270" spans="1:8" x14ac:dyDescent="0.3">
      <c r="A270" t="s">
        <v>998</v>
      </c>
      <c r="B270" t="s">
        <v>39</v>
      </c>
      <c r="C270" t="s">
        <v>1035</v>
      </c>
      <c r="D270" t="s">
        <v>1036</v>
      </c>
      <c r="E270" t="s">
        <v>1015</v>
      </c>
      <c r="F270" s="2" t="s">
        <v>779</v>
      </c>
      <c r="G270" s="4" t="s">
        <v>538</v>
      </c>
      <c r="H270" t="s">
        <v>272</v>
      </c>
    </row>
    <row r="271" spans="1:8" x14ac:dyDescent="0.3">
      <c r="A271" t="s">
        <v>998</v>
      </c>
      <c r="B271" t="s">
        <v>575</v>
      </c>
      <c r="C271" t="s">
        <v>576</v>
      </c>
      <c r="D271" t="s">
        <v>577</v>
      </c>
      <c r="E271" t="s">
        <v>578</v>
      </c>
      <c r="F271" s="2" t="s">
        <v>579</v>
      </c>
      <c r="G271" s="4" t="s">
        <v>538</v>
      </c>
      <c r="H271" t="s">
        <v>16</v>
      </c>
    </row>
    <row r="272" spans="1:8" x14ac:dyDescent="0.3">
      <c r="A272" t="s">
        <v>998</v>
      </c>
      <c r="B272" t="s">
        <v>570</v>
      </c>
      <c r="C272" t="s">
        <v>571</v>
      </c>
      <c r="D272" t="s">
        <v>572</v>
      </c>
      <c r="E272" t="s">
        <v>573</v>
      </c>
      <c r="F272" s="2" t="s">
        <v>574</v>
      </c>
      <c r="G272" s="4" t="s">
        <v>538</v>
      </c>
      <c r="H272" t="s">
        <v>16</v>
      </c>
    </row>
    <row r="273" spans="1:8" x14ac:dyDescent="0.3">
      <c r="A273" t="s">
        <v>998</v>
      </c>
      <c r="B273" t="s">
        <v>1037</v>
      </c>
      <c r="C273" t="s">
        <v>1038</v>
      </c>
      <c r="D273" t="s">
        <v>1039</v>
      </c>
      <c r="E273" t="s">
        <v>1040</v>
      </c>
      <c r="F273" s="2" t="s">
        <v>1041</v>
      </c>
      <c r="G273" s="4" t="s">
        <v>538</v>
      </c>
      <c r="H273" t="s">
        <v>16</v>
      </c>
    </row>
    <row r="274" spans="1:8" x14ac:dyDescent="0.3">
      <c r="A274" t="s">
        <v>998</v>
      </c>
      <c r="B274" t="s">
        <v>39</v>
      </c>
      <c r="C274" t="s">
        <v>1042</v>
      </c>
      <c r="D274" t="s">
        <v>1043</v>
      </c>
      <c r="E274" t="s">
        <v>1015</v>
      </c>
      <c r="F274" s="2" t="s">
        <v>779</v>
      </c>
      <c r="G274" s="4" t="s">
        <v>538</v>
      </c>
      <c r="H274" t="s">
        <v>272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1"/>
  <sheetViews>
    <sheetView tabSelected="1" topLeftCell="A196" zoomScale="115" zoomScaleNormal="115" workbookViewId="0">
      <selection activeCell="J2" sqref="J2:J221"/>
    </sheetView>
  </sheetViews>
  <sheetFormatPr defaultRowHeight="16.5" x14ac:dyDescent="0.3"/>
  <cols>
    <col min="1" max="1" width="26" customWidth="1"/>
    <col min="2" max="6" width="13" customWidth="1"/>
    <col min="7" max="7" width="9" customWidth="1"/>
    <col min="8" max="8" width="13" customWidth="1"/>
  </cols>
  <sheetData>
    <row r="1" spans="1:10" x14ac:dyDescent="0.3">
      <c r="A1">
        <v>4</v>
      </c>
      <c r="B1">
        <v>5</v>
      </c>
      <c r="C1">
        <v>6</v>
      </c>
      <c r="D1">
        <v>7</v>
      </c>
      <c r="E1">
        <v>8</v>
      </c>
      <c r="F1">
        <v>9</v>
      </c>
      <c r="G1">
        <v>10</v>
      </c>
      <c r="H1">
        <v>15</v>
      </c>
      <c r="I1">
        <f>SUM(G2:G221)</f>
        <v>3359240</v>
      </c>
    </row>
    <row r="2" spans="1:10" x14ac:dyDescent="0.3">
      <c r="A2" t="s">
        <v>0</v>
      </c>
      <c r="B2" t="s">
        <v>1</v>
      </c>
      <c r="E2" t="s">
        <v>2</v>
      </c>
      <c r="F2" t="s">
        <v>3</v>
      </c>
      <c r="G2">
        <v>78480</v>
      </c>
      <c r="H2" t="s">
        <v>1044</v>
      </c>
      <c r="I2" t="str">
        <f>TEXT(DATE(2000+LEFT(H2,2), MID(H2,3,2), RIGHT(H2,2)), "yyyy.mm.dd")</f>
        <v>2025.09.12</v>
      </c>
      <c r="J2">
        <f>G2/0.967</f>
        <v>81158.221302998965</v>
      </c>
    </row>
    <row r="3" spans="1:10" x14ac:dyDescent="0.3">
      <c r="A3" t="s">
        <v>0</v>
      </c>
      <c r="B3" t="s">
        <v>6</v>
      </c>
      <c r="E3" t="s">
        <v>7</v>
      </c>
      <c r="F3" t="s">
        <v>8</v>
      </c>
      <c r="G3">
        <v>78480</v>
      </c>
      <c r="H3" t="s">
        <v>1044</v>
      </c>
      <c r="I3" t="str">
        <f t="shared" ref="I3:I66" si="0">TEXT(DATE(2000+LEFT(H3,2), MID(H3,3,2), RIGHT(H3,2)), "yyyy.mm.dd")</f>
        <v>2025.09.12</v>
      </c>
      <c r="J3">
        <f t="shared" ref="J3:J66" si="1">G3/0.967</f>
        <v>81158.221302998965</v>
      </c>
    </row>
    <row r="4" spans="1:10" x14ac:dyDescent="0.3">
      <c r="A4" t="s">
        <v>0</v>
      </c>
      <c r="B4" t="s">
        <v>9</v>
      </c>
      <c r="E4" t="s">
        <v>10</v>
      </c>
      <c r="F4" t="s">
        <v>11</v>
      </c>
      <c r="G4">
        <v>78480</v>
      </c>
      <c r="H4" t="s">
        <v>1044</v>
      </c>
      <c r="I4" t="str">
        <f t="shared" si="0"/>
        <v>2025.09.12</v>
      </c>
      <c r="J4">
        <f t="shared" si="1"/>
        <v>81158.221302998965</v>
      </c>
    </row>
    <row r="5" spans="1:10" x14ac:dyDescent="0.3">
      <c r="A5" t="s">
        <v>17</v>
      </c>
      <c r="B5" t="s">
        <v>18</v>
      </c>
      <c r="E5" t="s">
        <v>19</v>
      </c>
      <c r="F5" t="s">
        <v>20</v>
      </c>
      <c r="G5">
        <v>43600</v>
      </c>
      <c r="H5" t="s">
        <v>1045</v>
      </c>
      <c r="I5" t="str">
        <f t="shared" si="0"/>
        <v>2025.09.06</v>
      </c>
      <c r="J5">
        <f t="shared" si="1"/>
        <v>45087.900723888313</v>
      </c>
    </row>
    <row r="6" spans="1:10" x14ac:dyDescent="0.3">
      <c r="A6" t="s">
        <v>17</v>
      </c>
      <c r="B6" t="s">
        <v>26</v>
      </c>
      <c r="C6" t="s">
        <v>27</v>
      </c>
      <c r="E6" t="s">
        <v>28</v>
      </c>
      <c r="F6" t="s">
        <v>29</v>
      </c>
      <c r="G6">
        <v>193400</v>
      </c>
      <c r="H6" t="s">
        <v>1046</v>
      </c>
      <c r="I6" t="str">
        <f t="shared" si="0"/>
        <v>2025.09.15</v>
      </c>
      <c r="J6">
        <f t="shared" si="1"/>
        <v>200000</v>
      </c>
    </row>
    <row r="7" spans="1:10" x14ac:dyDescent="0.3">
      <c r="A7" t="s">
        <v>33</v>
      </c>
      <c r="B7" t="s">
        <v>34</v>
      </c>
      <c r="E7" t="s">
        <v>35</v>
      </c>
      <c r="F7" t="s">
        <v>36</v>
      </c>
      <c r="G7">
        <v>193400</v>
      </c>
      <c r="H7" t="s">
        <v>1047</v>
      </c>
      <c r="I7" t="str">
        <f t="shared" si="0"/>
        <v>2025.09.22</v>
      </c>
      <c r="J7">
        <f t="shared" si="1"/>
        <v>200000</v>
      </c>
    </row>
    <row r="8" spans="1:10" x14ac:dyDescent="0.3">
      <c r="A8" t="s">
        <v>44</v>
      </c>
      <c r="B8" t="s">
        <v>45</v>
      </c>
      <c r="C8" t="s">
        <v>46</v>
      </c>
      <c r="E8" t="s">
        <v>47</v>
      </c>
      <c r="F8" t="s">
        <v>48</v>
      </c>
      <c r="G8">
        <v>13920</v>
      </c>
      <c r="H8" t="s">
        <v>1049</v>
      </c>
      <c r="I8" t="str">
        <f t="shared" si="0"/>
        <v>2025.09.29</v>
      </c>
      <c r="J8">
        <f t="shared" si="1"/>
        <v>14395.036194415719</v>
      </c>
    </row>
    <row r="9" spans="1:10" x14ac:dyDescent="0.3">
      <c r="A9" t="s">
        <v>1050</v>
      </c>
      <c r="B9" t="s">
        <v>51</v>
      </c>
      <c r="C9" t="s">
        <v>52</v>
      </c>
      <c r="E9" t="s">
        <v>53</v>
      </c>
      <c r="F9" t="s">
        <v>54</v>
      </c>
      <c r="G9">
        <v>20920</v>
      </c>
      <c r="H9" t="s">
        <v>1049</v>
      </c>
      <c r="I9" t="str">
        <f t="shared" si="0"/>
        <v>2025.09.29</v>
      </c>
      <c r="J9">
        <f t="shared" si="1"/>
        <v>21633.919338159256</v>
      </c>
    </row>
    <row r="10" spans="1:10" x14ac:dyDescent="0.3">
      <c r="A10" t="s">
        <v>44</v>
      </c>
      <c r="B10" t="s">
        <v>55</v>
      </c>
      <c r="C10" t="s">
        <v>56</v>
      </c>
      <c r="F10" t="s">
        <v>57</v>
      </c>
      <c r="G10">
        <v>13920</v>
      </c>
      <c r="H10" t="s">
        <v>1051</v>
      </c>
      <c r="I10" t="str">
        <f t="shared" si="0"/>
        <v>2025.09.26</v>
      </c>
      <c r="J10">
        <f t="shared" si="1"/>
        <v>14395.036194415719</v>
      </c>
    </row>
    <row r="11" spans="1:10" x14ac:dyDescent="0.3">
      <c r="A11" s="5" t="s">
        <v>44</v>
      </c>
      <c r="B11" s="5" t="s">
        <v>59</v>
      </c>
      <c r="C11" s="5" t="s">
        <v>60</v>
      </c>
      <c r="D11" s="5"/>
      <c r="E11" s="5" t="s">
        <v>61</v>
      </c>
      <c r="F11" s="5" t="s">
        <v>62</v>
      </c>
      <c r="G11" s="5">
        <v>13920</v>
      </c>
      <c r="H11" s="5" t="s">
        <v>1049</v>
      </c>
      <c r="I11" t="str">
        <f t="shared" si="0"/>
        <v>2025.09.29</v>
      </c>
      <c r="J11">
        <f t="shared" si="1"/>
        <v>14395.036194415719</v>
      </c>
    </row>
    <row r="12" spans="1:10" x14ac:dyDescent="0.3">
      <c r="A12" t="s">
        <v>44</v>
      </c>
      <c r="B12" t="s">
        <v>63</v>
      </c>
      <c r="C12" t="s">
        <v>64</v>
      </c>
      <c r="E12" t="s">
        <v>65</v>
      </c>
      <c r="F12" t="s">
        <v>66</v>
      </c>
      <c r="G12">
        <v>13920</v>
      </c>
      <c r="H12" t="s">
        <v>1049</v>
      </c>
      <c r="I12" t="str">
        <f t="shared" si="0"/>
        <v>2025.09.29</v>
      </c>
      <c r="J12">
        <f t="shared" si="1"/>
        <v>14395.036194415719</v>
      </c>
    </row>
    <row r="13" spans="1:10" x14ac:dyDescent="0.3">
      <c r="A13" t="s">
        <v>44</v>
      </c>
      <c r="B13" t="s">
        <v>67</v>
      </c>
      <c r="C13" t="s">
        <v>68</v>
      </c>
      <c r="E13" t="s">
        <v>69</v>
      </c>
      <c r="F13" t="s">
        <v>70</v>
      </c>
      <c r="G13">
        <v>13920</v>
      </c>
      <c r="H13" t="s">
        <v>1049</v>
      </c>
      <c r="I13" t="str">
        <f t="shared" si="0"/>
        <v>2025.09.29</v>
      </c>
      <c r="J13">
        <f t="shared" si="1"/>
        <v>14395.036194415719</v>
      </c>
    </row>
    <row r="14" spans="1:10" x14ac:dyDescent="0.3">
      <c r="A14" t="s">
        <v>44</v>
      </c>
      <c r="B14" t="s">
        <v>71</v>
      </c>
      <c r="C14" t="s">
        <v>72</v>
      </c>
      <c r="E14" t="s">
        <v>73</v>
      </c>
      <c r="F14" t="s">
        <v>74</v>
      </c>
      <c r="G14">
        <v>13920</v>
      </c>
      <c r="H14" t="s">
        <v>1049</v>
      </c>
      <c r="I14" t="str">
        <f t="shared" si="0"/>
        <v>2025.09.29</v>
      </c>
      <c r="J14">
        <f t="shared" si="1"/>
        <v>14395.036194415719</v>
      </c>
    </row>
    <row r="15" spans="1:10" x14ac:dyDescent="0.3">
      <c r="A15" t="s">
        <v>1052</v>
      </c>
      <c r="B15" t="s">
        <v>75</v>
      </c>
      <c r="C15" t="s">
        <v>76</v>
      </c>
      <c r="E15" t="s">
        <v>77</v>
      </c>
      <c r="F15" t="s">
        <v>78</v>
      </c>
      <c r="G15">
        <v>20920</v>
      </c>
      <c r="H15" t="s">
        <v>1051</v>
      </c>
      <c r="I15" t="str">
        <f t="shared" si="0"/>
        <v>2025.09.26</v>
      </c>
      <c r="J15">
        <f t="shared" si="1"/>
        <v>21633.919338159256</v>
      </c>
    </row>
    <row r="16" spans="1:10" x14ac:dyDescent="0.3">
      <c r="A16" t="s">
        <v>44</v>
      </c>
      <c r="B16" t="s">
        <v>79</v>
      </c>
      <c r="C16" t="s">
        <v>80</v>
      </c>
      <c r="E16" t="s">
        <v>81</v>
      </c>
      <c r="F16" t="s">
        <v>82</v>
      </c>
      <c r="G16">
        <v>13920</v>
      </c>
      <c r="H16" t="s">
        <v>1051</v>
      </c>
      <c r="I16" t="str">
        <f t="shared" si="0"/>
        <v>2025.09.26</v>
      </c>
      <c r="J16">
        <f t="shared" si="1"/>
        <v>14395.036194415719</v>
      </c>
    </row>
    <row r="17" spans="1:10" x14ac:dyDescent="0.3">
      <c r="A17" t="s">
        <v>1053</v>
      </c>
      <c r="B17" t="s">
        <v>83</v>
      </c>
      <c r="C17" t="s">
        <v>84</v>
      </c>
      <c r="E17" t="s">
        <v>85</v>
      </c>
      <c r="F17" t="s">
        <v>86</v>
      </c>
      <c r="G17">
        <v>27840</v>
      </c>
      <c r="H17" t="s">
        <v>1049</v>
      </c>
      <c r="I17" t="str">
        <f t="shared" si="0"/>
        <v>2025.09.29</v>
      </c>
      <c r="J17">
        <f t="shared" si="1"/>
        <v>28790.072388831439</v>
      </c>
    </row>
    <row r="18" spans="1:10" x14ac:dyDescent="0.3">
      <c r="A18" t="s">
        <v>1054</v>
      </c>
      <c r="B18" t="s">
        <v>87</v>
      </c>
      <c r="C18" t="s">
        <v>88</v>
      </c>
      <c r="E18" t="s">
        <v>89</v>
      </c>
      <c r="F18" t="s">
        <v>90</v>
      </c>
      <c r="G18">
        <v>20920</v>
      </c>
      <c r="H18" t="s">
        <v>1049</v>
      </c>
      <c r="I18" t="str">
        <f t="shared" si="0"/>
        <v>2025.09.29</v>
      </c>
      <c r="J18">
        <f t="shared" si="1"/>
        <v>21633.919338159256</v>
      </c>
    </row>
    <row r="19" spans="1:10" x14ac:dyDescent="0.3">
      <c r="A19" t="s">
        <v>44</v>
      </c>
      <c r="B19" t="s">
        <v>91</v>
      </c>
      <c r="C19" t="s">
        <v>92</v>
      </c>
      <c r="E19" t="s">
        <v>93</v>
      </c>
      <c r="F19" t="s">
        <v>94</v>
      </c>
      <c r="G19">
        <v>13920</v>
      </c>
      <c r="H19" t="s">
        <v>1049</v>
      </c>
      <c r="I19" t="str">
        <f t="shared" si="0"/>
        <v>2025.09.29</v>
      </c>
      <c r="J19">
        <f t="shared" si="1"/>
        <v>14395.036194415719</v>
      </c>
    </row>
    <row r="20" spans="1:10" x14ac:dyDescent="0.3">
      <c r="A20" t="s">
        <v>1055</v>
      </c>
      <c r="B20" t="s">
        <v>96</v>
      </c>
      <c r="C20" t="s">
        <v>97</v>
      </c>
      <c r="E20" t="s">
        <v>98</v>
      </c>
      <c r="F20" t="s">
        <v>99</v>
      </c>
      <c r="G20">
        <v>24450</v>
      </c>
      <c r="H20" t="s">
        <v>1049</v>
      </c>
      <c r="I20" t="str">
        <f t="shared" si="0"/>
        <v>2025.09.29</v>
      </c>
      <c r="J20">
        <f t="shared" si="1"/>
        <v>25284.384694932782</v>
      </c>
    </row>
    <row r="21" spans="1:10" x14ac:dyDescent="0.3">
      <c r="A21" t="s">
        <v>1056</v>
      </c>
      <c r="B21" t="s">
        <v>100</v>
      </c>
      <c r="C21" t="s">
        <v>101</v>
      </c>
      <c r="E21" t="s">
        <v>102</v>
      </c>
      <c r="F21" t="s">
        <v>103</v>
      </c>
      <c r="G21">
        <v>62760</v>
      </c>
      <c r="H21" t="s">
        <v>1051</v>
      </c>
      <c r="I21" t="str">
        <f t="shared" si="0"/>
        <v>2025.09.26</v>
      </c>
      <c r="J21">
        <f t="shared" si="1"/>
        <v>64901.758014477768</v>
      </c>
    </row>
    <row r="22" spans="1:10" x14ac:dyDescent="0.3">
      <c r="A22" t="s">
        <v>44</v>
      </c>
      <c r="B22" t="s">
        <v>105</v>
      </c>
      <c r="C22" t="s">
        <v>106</v>
      </c>
      <c r="E22" t="s">
        <v>107</v>
      </c>
      <c r="F22" t="s">
        <v>108</v>
      </c>
      <c r="G22">
        <v>13920</v>
      </c>
      <c r="H22" t="s">
        <v>1049</v>
      </c>
      <c r="I22" t="str">
        <f t="shared" si="0"/>
        <v>2025.09.29</v>
      </c>
      <c r="J22">
        <f t="shared" si="1"/>
        <v>14395.036194415719</v>
      </c>
    </row>
    <row r="23" spans="1:10" x14ac:dyDescent="0.3">
      <c r="A23" t="s">
        <v>44</v>
      </c>
      <c r="B23" t="s">
        <v>109</v>
      </c>
      <c r="C23" t="s">
        <v>110</v>
      </c>
      <c r="E23" t="s">
        <v>111</v>
      </c>
      <c r="F23" t="s">
        <v>112</v>
      </c>
      <c r="G23">
        <v>13920</v>
      </c>
      <c r="H23" t="s">
        <v>1051</v>
      </c>
      <c r="I23" t="str">
        <f t="shared" si="0"/>
        <v>2025.09.26</v>
      </c>
      <c r="J23">
        <f t="shared" si="1"/>
        <v>14395.036194415719</v>
      </c>
    </row>
    <row r="24" spans="1:10" x14ac:dyDescent="0.3">
      <c r="A24" t="s">
        <v>1054</v>
      </c>
      <c r="B24" t="s">
        <v>113</v>
      </c>
      <c r="C24" t="s">
        <v>114</v>
      </c>
      <c r="E24" t="s">
        <v>115</v>
      </c>
      <c r="F24" t="s">
        <v>116</v>
      </c>
      <c r="G24">
        <v>20920</v>
      </c>
      <c r="H24" t="s">
        <v>1049</v>
      </c>
      <c r="I24" t="str">
        <f t="shared" si="0"/>
        <v>2025.09.29</v>
      </c>
      <c r="J24">
        <f t="shared" si="1"/>
        <v>21633.919338159256</v>
      </c>
    </row>
    <row r="25" spans="1:10" x14ac:dyDescent="0.3">
      <c r="A25" t="s">
        <v>44</v>
      </c>
      <c r="B25" t="s">
        <v>117</v>
      </c>
      <c r="C25" t="s">
        <v>118</v>
      </c>
      <c r="E25" t="s">
        <v>119</v>
      </c>
      <c r="F25" t="s">
        <v>120</v>
      </c>
      <c r="G25">
        <v>13920</v>
      </c>
      <c r="H25" t="s">
        <v>1051</v>
      </c>
      <c r="I25" t="str">
        <f t="shared" si="0"/>
        <v>2025.09.26</v>
      </c>
      <c r="J25">
        <f t="shared" si="1"/>
        <v>14395.036194415719</v>
      </c>
    </row>
    <row r="26" spans="1:10" x14ac:dyDescent="0.3">
      <c r="A26" t="s">
        <v>1057</v>
      </c>
      <c r="B26" t="s">
        <v>121</v>
      </c>
      <c r="C26" t="s">
        <v>122</v>
      </c>
      <c r="E26" t="s">
        <v>123</v>
      </c>
      <c r="F26" t="s">
        <v>124</v>
      </c>
      <c r="G26">
        <v>24450</v>
      </c>
      <c r="H26" t="s">
        <v>1049</v>
      </c>
      <c r="I26" t="str">
        <f t="shared" si="0"/>
        <v>2025.09.29</v>
      </c>
      <c r="J26">
        <f t="shared" si="1"/>
        <v>25284.384694932782</v>
      </c>
    </row>
    <row r="27" spans="1:10" x14ac:dyDescent="0.3">
      <c r="A27" t="s">
        <v>44</v>
      </c>
      <c r="B27" t="s">
        <v>125</v>
      </c>
      <c r="C27" t="s">
        <v>126</v>
      </c>
      <c r="E27" t="s">
        <v>127</v>
      </c>
      <c r="F27" t="s">
        <v>128</v>
      </c>
      <c r="G27">
        <v>13920</v>
      </c>
      <c r="H27" t="s">
        <v>1049</v>
      </c>
      <c r="I27" t="str">
        <f t="shared" si="0"/>
        <v>2025.09.29</v>
      </c>
      <c r="J27">
        <f t="shared" si="1"/>
        <v>14395.036194415719</v>
      </c>
    </row>
    <row r="28" spans="1:10" x14ac:dyDescent="0.3">
      <c r="A28" t="s">
        <v>44</v>
      </c>
      <c r="B28" t="s">
        <v>129</v>
      </c>
      <c r="C28" t="s">
        <v>130</v>
      </c>
      <c r="E28" t="s">
        <v>131</v>
      </c>
      <c r="F28" t="s">
        <v>132</v>
      </c>
      <c r="G28">
        <v>13920</v>
      </c>
      <c r="H28" t="s">
        <v>1049</v>
      </c>
      <c r="I28" t="str">
        <f t="shared" si="0"/>
        <v>2025.09.29</v>
      </c>
      <c r="J28">
        <f t="shared" si="1"/>
        <v>14395.036194415719</v>
      </c>
    </row>
    <row r="29" spans="1:10" x14ac:dyDescent="0.3">
      <c r="A29" t="s">
        <v>44</v>
      </c>
      <c r="B29" t="s">
        <v>133</v>
      </c>
      <c r="C29" t="s">
        <v>134</v>
      </c>
      <c r="E29" t="s">
        <v>135</v>
      </c>
      <c r="F29" t="s">
        <v>136</v>
      </c>
      <c r="G29">
        <v>13920</v>
      </c>
      <c r="H29" t="s">
        <v>1051</v>
      </c>
      <c r="I29" t="str">
        <f t="shared" si="0"/>
        <v>2025.09.26</v>
      </c>
      <c r="J29">
        <f t="shared" si="1"/>
        <v>14395.036194415719</v>
      </c>
    </row>
    <row r="30" spans="1:10" x14ac:dyDescent="0.3">
      <c r="A30" t="s">
        <v>1054</v>
      </c>
      <c r="B30" t="s">
        <v>137</v>
      </c>
      <c r="C30" t="s">
        <v>138</v>
      </c>
      <c r="E30" t="s">
        <v>139</v>
      </c>
      <c r="F30" t="s">
        <v>140</v>
      </c>
      <c r="G30">
        <v>20920</v>
      </c>
      <c r="H30" t="s">
        <v>1049</v>
      </c>
      <c r="I30" t="str">
        <f t="shared" si="0"/>
        <v>2025.09.29</v>
      </c>
      <c r="J30">
        <f t="shared" si="1"/>
        <v>21633.919338159256</v>
      </c>
    </row>
    <row r="31" spans="1:10" x14ac:dyDescent="0.3">
      <c r="A31" t="s">
        <v>44</v>
      </c>
      <c r="B31" t="s">
        <v>141</v>
      </c>
      <c r="C31" t="s">
        <v>142</v>
      </c>
      <c r="E31" t="s">
        <v>143</v>
      </c>
      <c r="F31" t="s">
        <v>144</v>
      </c>
      <c r="G31">
        <v>13920</v>
      </c>
      <c r="H31" t="s">
        <v>1049</v>
      </c>
      <c r="I31" t="str">
        <f t="shared" si="0"/>
        <v>2025.09.29</v>
      </c>
      <c r="J31">
        <f t="shared" si="1"/>
        <v>14395.036194415719</v>
      </c>
    </row>
    <row r="32" spans="1:10" x14ac:dyDescent="0.3">
      <c r="A32" t="s">
        <v>44</v>
      </c>
      <c r="B32" t="s">
        <v>145</v>
      </c>
      <c r="C32" t="s">
        <v>146</v>
      </c>
      <c r="E32" t="s">
        <v>147</v>
      </c>
      <c r="F32" t="s">
        <v>148</v>
      </c>
      <c r="G32">
        <v>13920</v>
      </c>
      <c r="H32" t="s">
        <v>1049</v>
      </c>
      <c r="I32" t="str">
        <f t="shared" si="0"/>
        <v>2025.09.29</v>
      </c>
      <c r="J32">
        <f t="shared" si="1"/>
        <v>14395.036194415719</v>
      </c>
    </row>
    <row r="33" spans="1:10" x14ac:dyDescent="0.3">
      <c r="A33" t="s">
        <v>44</v>
      </c>
      <c r="B33" t="s">
        <v>149</v>
      </c>
      <c r="C33" t="s">
        <v>150</v>
      </c>
      <c r="E33" t="s">
        <v>151</v>
      </c>
      <c r="F33" t="s">
        <v>152</v>
      </c>
      <c r="G33">
        <v>13920</v>
      </c>
      <c r="H33" t="s">
        <v>1049</v>
      </c>
      <c r="I33" t="str">
        <f t="shared" si="0"/>
        <v>2025.09.29</v>
      </c>
      <c r="J33">
        <f t="shared" si="1"/>
        <v>14395.036194415719</v>
      </c>
    </row>
    <row r="34" spans="1:10" x14ac:dyDescent="0.3">
      <c r="A34" t="s">
        <v>1079</v>
      </c>
      <c r="B34" t="s">
        <v>153</v>
      </c>
      <c r="C34" t="s">
        <v>154</v>
      </c>
      <c r="E34" t="s">
        <v>155</v>
      </c>
      <c r="F34" t="s">
        <v>156</v>
      </c>
      <c r="G34">
        <v>24450</v>
      </c>
      <c r="H34" t="s">
        <v>1049</v>
      </c>
      <c r="I34" t="str">
        <f t="shared" si="0"/>
        <v>2025.09.29</v>
      </c>
      <c r="J34">
        <f t="shared" si="1"/>
        <v>25284.384694932782</v>
      </c>
    </row>
    <row r="35" spans="1:10" x14ac:dyDescent="0.3">
      <c r="A35" t="s">
        <v>1058</v>
      </c>
      <c r="B35" t="s">
        <v>157</v>
      </c>
      <c r="C35" t="s">
        <v>158</v>
      </c>
      <c r="E35" t="s">
        <v>159</v>
      </c>
      <c r="F35" t="s">
        <v>160</v>
      </c>
      <c r="G35">
        <v>42720</v>
      </c>
      <c r="H35" t="s">
        <v>1051</v>
      </c>
      <c r="I35" t="str">
        <f t="shared" si="0"/>
        <v>2025.09.26</v>
      </c>
      <c r="J35">
        <f t="shared" si="1"/>
        <v>44177.869700103416</v>
      </c>
    </row>
    <row r="36" spans="1:10" x14ac:dyDescent="0.3">
      <c r="A36" t="s">
        <v>44</v>
      </c>
      <c r="B36" t="s">
        <v>161</v>
      </c>
      <c r="C36" t="s">
        <v>162</v>
      </c>
      <c r="E36" t="s">
        <v>163</v>
      </c>
      <c r="F36" t="s">
        <v>164</v>
      </c>
      <c r="G36">
        <v>13920</v>
      </c>
      <c r="H36" t="s">
        <v>1049</v>
      </c>
      <c r="I36" t="str">
        <f t="shared" si="0"/>
        <v>2025.09.29</v>
      </c>
      <c r="J36">
        <f t="shared" si="1"/>
        <v>14395.036194415719</v>
      </c>
    </row>
    <row r="37" spans="1:10" x14ac:dyDescent="0.3">
      <c r="A37" t="s">
        <v>44</v>
      </c>
      <c r="B37" t="s">
        <v>165</v>
      </c>
      <c r="C37" t="s">
        <v>166</v>
      </c>
      <c r="E37" t="s">
        <v>167</v>
      </c>
      <c r="F37" t="s">
        <v>168</v>
      </c>
      <c r="G37">
        <v>13920</v>
      </c>
      <c r="H37" t="s">
        <v>1051</v>
      </c>
      <c r="I37" t="str">
        <f t="shared" si="0"/>
        <v>2025.09.26</v>
      </c>
      <c r="J37">
        <f t="shared" si="1"/>
        <v>14395.036194415719</v>
      </c>
    </row>
    <row r="38" spans="1:10" x14ac:dyDescent="0.3">
      <c r="A38" t="s">
        <v>44</v>
      </c>
      <c r="B38" t="s">
        <v>169</v>
      </c>
      <c r="C38" t="s">
        <v>170</v>
      </c>
      <c r="E38" t="s">
        <v>171</v>
      </c>
      <c r="F38" t="s">
        <v>172</v>
      </c>
      <c r="G38">
        <v>13920</v>
      </c>
      <c r="H38" t="s">
        <v>1051</v>
      </c>
      <c r="I38" t="str">
        <f t="shared" si="0"/>
        <v>2025.09.26</v>
      </c>
      <c r="J38">
        <f t="shared" si="1"/>
        <v>14395.036194415719</v>
      </c>
    </row>
    <row r="39" spans="1:10" x14ac:dyDescent="0.3">
      <c r="A39" t="s">
        <v>44</v>
      </c>
      <c r="B39" t="s">
        <v>173</v>
      </c>
      <c r="C39" t="s">
        <v>174</v>
      </c>
      <c r="E39" t="s">
        <v>175</v>
      </c>
      <c r="F39" t="s">
        <v>176</v>
      </c>
      <c r="G39">
        <v>13920</v>
      </c>
      <c r="H39" t="s">
        <v>1049</v>
      </c>
      <c r="I39" t="str">
        <f t="shared" si="0"/>
        <v>2025.09.29</v>
      </c>
      <c r="J39">
        <f t="shared" si="1"/>
        <v>14395.036194415719</v>
      </c>
    </row>
    <row r="40" spans="1:10" x14ac:dyDescent="0.3">
      <c r="A40" t="s">
        <v>44</v>
      </c>
      <c r="B40" t="s">
        <v>177</v>
      </c>
      <c r="C40" t="s">
        <v>178</v>
      </c>
      <c r="E40" t="s">
        <v>179</v>
      </c>
      <c r="F40" t="s">
        <v>180</v>
      </c>
      <c r="G40">
        <v>13920</v>
      </c>
      <c r="H40" t="s">
        <v>1051</v>
      </c>
      <c r="I40" t="str">
        <f t="shared" si="0"/>
        <v>2025.09.26</v>
      </c>
      <c r="J40">
        <f t="shared" si="1"/>
        <v>14395.036194415719</v>
      </c>
    </row>
    <row r="41" spans="1:10" x14ac:dyDescent="0.3">
      <c r="A41" t="s">
        <v>44</v>
      </c>
      <c r="B41" t="s">
        <v>181</v>
      </c>
      <c r="C41" t="s">
        <v>182</v>
      </c>
      <c r="E41" t="s">
        <v>183</v>
      </c>
      <c r="F41" t="s">
        <v>184</v>
      </c>
      <c r="G41">
        <v>13920</v>
      </c>
      <c r="H41" t="s">
        <v>1049</v>
      </c>
      <c r="I41" t="str">
        <f t="shared" si="0"/>
        <v>2025.09.29</v>
      </c>
      <c r="J41">
        <f t="shared" si="1"/>
        <v>14395.036194415719</v>
      </c>
    </row>
    <row r="42" spans="1:10" x14ac:dyDescent="0.3">
      <c r="A42" t="s">
        <v>1055</v>
      </c>
      <c r="B42" t="s">
        <v>185</v>
      </c>
      <c r="C42" t="s">
        <v>186</v>
      </c>
      <c r="E42" t="s">
        <v>187</v>
      </c>
      <c r="F42" t="s">
        <v>188</v>
      </c>
      <c r="G42">
        <v>24450</v>
      </c>
      <c r="H42" t="s">
        <v>1049</v>
      </c>
      <c r="I42" t="str">
        <f t="shared" si="0"/>
        <v>2025.09.29</v>
      </c>
      <c r="J42">
        <f t="shared" si="1"/>
        <v>25284.384694932782</v>
      </c>
    </row>
    <row r="43" spans="1:10" x14ac:dyDescent="0.3">
      <c r="A43" t="s">
        <v>44</v>
      </c>
      <c r="B43" t="s">
        <v>189</v>
      </c>
      <c r="C43" t="s">
        <v>190</v>
      </c>
      <c r="E43" t="s">
        <v>191</v>
      </c>
      <c r="F43" t="s">
        <v>192</v>
      </c>
      <c r="G43">
        <v>13920</v>
      </c>
      <c r="H43" t="s">
        <v>1051</v>
      </c>
      <c r="I43" t="str">
        <f t="shared" si="0"/>
        <v>2025.09.26</v>
      </c>
      <c r="J43">
        <f t="shared" si="1"/>
        <v>14395.036194415719</v>
      </c>
    </row>
    <row r="44" spans="1:10" x14ac:dyDescent="0.3">
      <c r="A44" t="s">
        <v>44</v>
      </c>
      <c r="B44" t="s">
        <v>193</v>
      </c>
      <c r="C44" t="s">
        <v>194</v>
      </c>
      <c r="E44" t="s">
        <v>195</v>
      </c>
      <c r="F44" t="s">
        <v>196</v>
      </c>
      <c r="G44">
        <v>13920</v>
      </c>
      <c r="H44" t="s">
        <v>1049</v>
      </c>
      <c r="I44" t="str">
        <f t="shared" si="0"/>
        <v>2025.09.29</v>
      </c>
      <c r="J44">
        <f t="shared" si="1"/>
        <v>14395.036194415719</v>
      </c>
    </row>
    <row r="45" spans="1:10" x14ac:dyDescent="0.3">
      <c r="A45" t="s">
        <v>44</v>
      </c>
      <c r="B45" t="s">
        <v>197</v>
      </c>
      <c r="C45" t="s">
        <v>198</v>
      </c>
      <c r="E45" t="s">
        <v>199</v>
      </c>
      <c r="F45" t="s">
        <v>200</v>
      </c>
      <c r="G45">
        <v>13920</v>
      </c>
      <c r="H45" t="s">
        <v>1049</v>
      </c>
      <c r="I45" t="str">
        <f t="shared" si="0"/>
        <v>2025.09.29</v>
      </c>
      <c r="J45">
        <f t="shared" si="1"/>
        <v>14395.036194415719</v>
      </c>
    </row>
    <row r="46" spans="1:10" x14ac:dyDescent="0.3">
      <c r="A46" t="s">
        <v>44</v>
      </c>
      <c r="B46" t="s">
        <v>201</v>
      </c>
      <c r="C46" t="s">
        <v>202</v>
      </c>
      <c r="E46" t="s">
        <v>197</v>
      </c>
      <c r="F46" t="s">
        <v>203</v>
      </c>
      <c r="G46">
        <v>13920</v>
      </c>
      <c r="H46" t="s">
        <v>1051</v>
      </c>
      <c r="I46" t="str">
        <f t="shared" si="0"/>
        <v>2025.09.26</v>
      </c>
      <c r="J46">
        <f t="shared" si="1"/>
        <v>14395.036194415719</v>
      </c>
    </row>
    <row r="47" spans="1:10" x14ac:dyDescent="0.3">
      <c r="A47" t="s">
        <v>44</v>
      </c>
      <c r="B47" t="s">
        <v>204</v>
      </c>
      <c r="C47" t="s">
        <v>205</v>
      </c>
      <c r="E47" t="s">
        <v>206</v>
      </c>
      <c r="F47" t="s">
        <v>207</v>
      </c>
      <c r="G47">
        <v>13920</v>
      </c>
      <c r="H47" t="s">
        <v>1049</v>
      </c>
      <c r="I47" t="str">
        <f t="shared" si="0"/>
        <v>2025.09.29</v>
      </c>
      <c r="J47">
        <f t="shared" si="1"/>
        <v>14395.036194415719</v>
      </c>
    </row>
    <row r="48" spans="1:10" x14ac:dyDescent="0.3">
      <c r="A48" t="s">
        <v>44</v>
      </c>
      <c r="B48" t="s">
        <v>208</v>
      </c>
      <c r="C48" t="s">
        <v>209</v>
      </c>
      <c r="E48" t="s">
        <v>210</v>
      </c>
      <c r="F48" t="s">
        <v>211</v>
      </c>
      <c r="G48">
        <v>13920</v>
      </c>
      <c r="H48" t="s">
        <v>1051</v>
      </c>
      <c r="I48" t="str">
        <f t="shared" si="0"/>
        <v>2025.09.26</v>
      </c>
      <c r="J48">
        <f t="shared" si="1"/>
        <v>14395.036194415719</v>
      </c>
    </row>
    <row r="49" spans="1:10" x14ac:dyDescent="0.3">
      <c r="A49" t="s">
        <v>44</v>
      </c>
      <c r="B49" t="s">
        <v>212</v>
      </c>
      <c r="C49" t="s">
        <v>213</v>
      </c>
      <c r="E49" t="s">
        <v>214</v>
      </c>
      <c r="F49" t="s">
        <v>215</v>
      </c>
      <c r="G49">
        <v>13920</v>
      </c>
      <c r="H49" t="s">
        <v>1051</v>
      </c>
      <c r="I49" t="str">
        <f t="shared" si="0"/>
        <v>2025.09.26</v>
      </c>
      <c r="J49">
        <f t="shared" si="1"/>
        <v>14395.036194415719</v>
      </c>
    </row>
    <row r="50" spans="1:10" x14ac:dyDescent="0.3">
      <c r="A50" t="s">
        <v>44</v>
      </c>
      <c r="B50" t="s">
        <v>216</v>
      </c>
      <c r="C50" t="s">
        <v>217</v>
      </c>
      <c r="E50" t="s">
        <v>218</v>
      </c>
      <c r="F50" t="s">
        <v>219</v>
      </c>
      <c r="G50">
        <v>13920</v>
      </c>
      <c r="H50" t="s">
        <v>1051</v>
      </c>
      <c r="I50" t="str">
        <f t="shared" si="0"/>
        <v>2025.09.26</v>
      </c>
      <c r="J50">
        <f t="shared" si="1"/>
        <v>14395.036194415719</v>
      </c>
    </row>
    <row r="51" spans="1:10" x14ac:dyDescent="0.3">
      <c r="A51" t="s">
        <v>44</v>
      </c>
      <c r="B51" t="s">
        <v>220</v>
      </c>
      <c r="C51" t="s">
        <v>221</v>
      </c>
      <c r="E51" t="s">
        <v>222</v>
      </c>
      <c r="F51" t="s">
        <v>223</v>
      </c>
      <c r="G51">
        <v>13920</v>
      </c>
      <c r="H51" t="s">
        <v>1049</v>
      </c>
      <c r="I51" t="str">
        <f t="shared" si="0"/>
        <v>2025.09.29</v>
      </c>
      <c r="J51">
        <f t="shared" si="1"/>
        <v>14395.036194415719</v>
      </c>
    </row>
    <row r="52" spans="1:10" x14ac:dyDescent="0.3">
      <c r="A52" t="s">
        <v>44</v>
      </c>
      <c r="B52" t="s">
        <v>224</v>
      </c>
      <c r="C52" t="s">
        <v>225</v>
      </c>
      <c r="E52" t="s">
        <v>226</v>
      </c>
      <c r="F52" t="s">
        <v>227</v>
      </c>
      <c r="G52">
        <v>13920</v>
      </c>
      <c r="H52" t="s">
        <v>1049</v>
      </c>
      <c r="I52" t="str">
        <f t="shared" si="0"/>
        <v>2025.09.29</v>
      </c>
      <c r="J52">
        <f t="shared" si="1"/>
        <v>14395.036194415719</v>
      </c>
    </row>
    <row r="53" spans="1:10" x14ac:dyDescent="0.3">
      <c r="A53" t="s">
        <v>44</v>
      </c>
      <c r="B53" t="s">
        <v>228</v>
      </c>
      <c r="C53" t="s">
        <v>229</v>
      </c>
      <c r="E53" t="s">
        <v>230</v>
      </c>
      <c r="F53" t="s">
        <v>231</v>
      </c>
      <c r="G53">
        <v>13920</v>
      </c>
      <c r="H53" t="s">
        <v>1049</v>
      </c>
      <c r="I53" t="str">
        <f t="shared" si="0"/>
        <v>2025.09.29</v>
      </c>
      <c r="J53">
        <f t="shared" si="1"/>
        <v>14395.036194415719</v>
      </c>
    </row>
    <row r="54" spans="1:10" x14ac:dyDescent="0.3">
      <c r="A54" t="s">
        <v>1059</v>
      </c>
      <c r="B54" t="s">
        <v>232</v>
      </c>
      <c r="C54" t="s">
        <v>233</v>
      </c>
      <c r="E54" t="s">
        <v>234</v>
      </c>
      <c r="F54" t="s">
        <v>235</v>
      </c>
      <c r="G54">
        <v>59430</v>
      </c>
      <c r="H54" t="s">
        <v>1049</v>
      </c>
      <c r="I54" t="str">
        <f t="shared" si="0"/>
        <v>2025.09.29</v>
      </c>
      <c r="J54">
        <f t="shared" si="1"/>
        <v>61458.117890382629</v>
      </c>
    </row>
    <row r="55" spans="1:10" x14ac:dyDescent="0.3">
      <c r="A55" t="s">
        <v>44</v>
      </c>
      <c r="B55" t="s">
        <v>236</v>
      </c>
      <c r="C55" t="s">
        <v>237</v>
      </c>
      <c r="E55" t="s">
        <v>238</v>
      </c>
      <c r="F55" t="s">
        <v>239</v>
      </c>
      <c r="G55">
        <v>13920</v>
      </c>
      <c r="H55" t="s">
        <v>1049</v>
      </c>
      <c r="I55" t="str">
        <f t="shared" si="0"/>
        <v>2025.09.29</v>
      </c>
      <c r="J55">
        <f t="shared" si="1"/>
        <v>14395.036194415719</v>
      </c>
    </row>
    <row r="56" spans="1:10" x14ac:dyDescent="0.3">
      <c r="A56" t="s">
        <v>44</v>
      </c>
      <c r="B56" t="s">
        <v>241</v>
      </c>
      <c r="C56" t="s">
        <v>242</v>
      </c>
      <c r="E56" t="s">
        <v>243</v>
      </c>
      <c r="F56" t="s">
        <v>244</v>
      </c>
      <c r="G56">
        <v>13920</v>
      </c>
      <c r="H56" t="s">
        <v>1049</v>
      </c>
      <c r="I56" t="str">
        <f t="shared" si="0"/>
        <v>2025.09.29</v>
      </c>
      <c r="J56">
        <f t="shared" si="1"/>
        <v>14395.036194415719</v>
      </c>
    </row>
    <row r="57" spans="1:10" x14ac:dyDescent="0.3">
      <c r="A57" t="s">
        <v>44</v>
      </c>
      <c r="B57" t="s">
        <v>245</v>
      </c>
      <c r="C57" t="s">
        <v>246</v>
      </c>
      <c r="E57" t="s">
        <v>247</v>
      </c>
      <c r="F57" t="s">
        <v>248</v>
      </c>
      <c r="G57">
        <v>13920</v>
      </c>
      <c r="H57" t="s">
        <v>1049</v>
      </c>
      <c r="I57" t="str">
        <f t="shared" si="0"/>
        <v>2025.09.29</v>
      </c>
      <c r="J57">
        <f t="shared" si="1"/>
        <v>14395.036194415719</v>
      </c>
    </row>
    <row r="58" spans="1:10" x14ac:dyDescent="0.3">
      <c r="A58" t="s">
        <v>44</v>
      </c>
      <c r="B58" t="s">
        <v>249</v>
      </c>
      <c r="C58" t="s">
        <v>250</v>
      </c>
      <c r="E58" t="s">
        <v>251</v>
      </c>
      <c r="F58" t="s">
        <v>252</v>
      </c>
      <c r="G58">
        <v>13920</v>
      </c>
      <c r="H58" t="s">
        <v>1049</v>
      </c>
      <c r="I58" t="str">
        <f t="shared" si="0"/>
        <v>2025.09.29</v>
      </c>
      <c r="J58">
        <f t="shared" si="1"/>
        <v>14395.036194415719</v>
      </c>
    </row>
    <row r="59" spans="1:10" x14ac:dyDescent="0.3">
      <c r="A59" t="s">
        <v>44</v>
      </c>
      <c r="B59" t="s">
        <v>253</v>
      </c>
      <c r="C59" t="s">
        <v>254</v>
      </c>
      <c r="E59" t="s">
        <v>255</v>
      </c>
      <c r="F59" t="s">
        <v>256</v>
      </c>
      <c r="G59">
        <v>13920</v>
      </c>
      <c r="H59" t="s">
        <v>1049</v>
      </c>
      <c r="I59" t="str">
        <f t="shared" si="0"/>
        <v>2025.09.29</v>
      </c>
      <c r="J59">
        <f t="shared" si="1"/>
        <v>14395.036194415719</v>
      </c>
    </row>
    <row r="60" spans="1:10" x14ac:dyDescent="0.3">
      <c r="A60" t="s">
        <v>44</v>
      </c>
      <c r="B60" t="s">
        <v>257</v>
      </c>
      <c r="C60" t="s">
        <v>258</v>
      </c>
      <c r="E60" t="s">
        <v>259</v>
      </c>
      <c r="F60" t="s">
        <v>260</v>
      </c>
      <c r="G60">
        <v>13920</v>
      </c>
      <c r="H60" t="s">
        <v>1049</v>
      </c>
      <c r="I60" t="str">
        <f t="shared" si="0"/>
        <v>2025.09.29</v>
      </c>
      <c r="J60">
        <f t="shared" si="1"/>
        <v>14395.036194415719</v>
      </c>
    </row>
    <row r="61" spans="1:10" x14ac:dyDescent="0.3">
      <c r="A61" t="s">
        <v>44</v>
      </c>
      <c r="B61" t="s">
        <v>261</v>
      </c>
      <c r="C61" t="s">
        <v>262</v>
      </c>
      <c r="E61" t="s">
        <v>263</v>
      </c>
      <c r="F61" t="s">
        <v>264</v>
      </c>
      <c r="G61">
        <v>13920</v>
      </c>
      <c r="H61" t="s">
        <v>1051</v>
      </c>
      <c r="I61" t="str">
        <f t="shared" si="0"/>
        <v>2025.09.26</v>
      </c>
      <c r="J61">
        <f t="shared" si="1"/>
        <v>14395.036194415719</v>
      </c>
    </row>
    <row r="62" spans="1:10" x14ac:dyDescent="0.3">
      <c r="A62" t="s">
        <v>1054</v>
      </c>
      <c r="B62" t="s">
        <v>265</v>
      </c>
      <c r="C62" t="s">
        <v>266</v>
      </c>
      <c r="E62" t="s">
        <v>267</v>
      </c>
      <c r="F62" t="s">
        <v>268</v>
      </c>
      <c r="G62">
        <v>20920</v>
      </c>
      <c r="H62" t="s">
        <v>1049</v>
      </c>
      <c r="I62" t="str">
        <f t="shared" si="0"/>
        <v>2025.09.29</v>
      </c>
      <c r="J62">
        <f t="shared" si="1"/>
        <v>21633.919338159256</v>
      </c>
    </row>
    <row r="63" spans="1:10" x14ac:dyDescent="0.3">
      <c r="A63" t="s">
        <v>273</v>
      </c>
      <c r="B63" t="s">
        <v>274</v>
      </c>
      <c r="C63" t="s">
        <v>275</v>
      </c>
      <c r="D63" t="s">
        <v>276</v>
      </c>
      <c r="E63" t="s">
        <v>277</v>
      </c>
      <c r="F63" t="s">
        <v>278</v>
      </c>
      <c r="G63">
        <v>7000</v>
      </c>
      <c r="H63" t="s">
        <v>1045</v>
      </c>
      <c r="I63" t="str">
        <f t="shared" si="0"/>
        <v>2025.09.06</v>
      </c>
      <c r="J63">
        <f t="shared" si="1"/>
        <v>7238.8831437435365</v>
      </c>
    </row>
    <row r="64" spans="1:10" x14ac:dyDescent="0.3">
      <c r="A64" t="s">
        <v>1060</v>
      </c>
      <c r="B64" t="s">
        <v>281</v>
      </c>
      <c r="C64" t="s">
        <v>677</v>
      </c>
      <c r="E64" t="s">
        <v>678</v>
      </c>
      <c r="F64" t="s">
        <v>285</v>
      </c>
      <c r="G64">
        <v>17530</v>
      </c>
      <c r="H64" t="s">
        <v>1046</v>
      </c>
      <c r="I64" t="str">
        <f t="shared" si="0"/>
        <v>2025.09.15</v>
      </c>
      <c r="J64">
        <f t="shared" si="1"/>
        <v>18128.231644260599</v>
      </c>
    </row>
    <row r="65" spans="1:10" x14ac:dyDescent="0.3">
      <c r="A65" t="s">
        <v>273</v>
      </c>
      <c r="B65" t="s">
        <v>286</v>
      </c>
      <c r="C65" t="s">
        <v>287</v>
      </c>
      <c r="E65" t="s">
        <v>288</v>
      </c>
      <c r="F65" t="s">
        <v>289</v>
      </c>
      <c r="G65">
        <v>7000</v>
      </c>
      <c r="H65" t="s">
        <v>1061</v>
      </c>
      <c r="I65" t="str">
        <f t="shared" si="0"/>
        <v>2025.09.18</v>
      </c>
      <c r="J65">
        <f t="shared" si="1"/>
        <v>7238.8831437435365</v>
      </c>
    </row>
    <row r="66" spans="1:10" x14ac:dyDescent="0.3">
      <c r="A66" t="s">
        <v>273</v>
      </c>
      <c r="B66" t="s">
        <v>291</v>
      </c>
      <c r="C66" t="s">
        <v>292</v>
      </c>
      <c r="D66" t="s">
        <v>293</v>
      </c>
      <c r="E66" t="s">
        <v>294</v>
      </c>
      <c r="F66" t="s">
        <v>295</v>
      </c>
      <c r="G66">
        <v>7000</v>
      </c>
      <c r="H66" t="s">
        <v>1044</v>
      </c>
      <c r="I66" t="str">
        <f t="shared" si="0"/>
        <v>2025.09.12</v>
      </c>
      <c r="J66">
        <f t="shared" si="1"/>
        <v>7238.8831437435365</v>
      </c>
    </row>
    <row r="67" spans="1:10" x14ac:dyDescent="0.3">
      <c r="A67" t="s">
        <v>1062</v>
      </c>
      <c r="B67" t="s">
        <v>296</v>
      </c>
      <c r="C67" t="s">
        <v>297</v>
      </c>
      <c r="D67" t="s">
        <v>298</v>
      </c>
      <c r="E67" t="s">
        <v>299</v>
      </c>
      <c r="F67" t="s">
        <v>300</v>
      </c>
      <c r="G67">
        <v>14000</v>
      </c>
      <c r="H67" t="s">
        <v>1046</v>
      </c>
      <c r="I67" t="str">
        <f t="shared" ref="I67:I130" si="2">TEXT(DATE(2000+LEFT(H67,2), MID(H67,3,2), RIGHT(H67,2)), "yyyy.mm.dd")</f>
        <v>2025.09.15</v>
      </c>
      <c r="J67">
        <f t="shared" ref="J67:J130" si="3">G67/0.967</f>
        <v>14477.766287487073</v>
      </c>
    </row>
    <row r="68" spans="1:10" x14ac:dyDescent="0.3">
      <c r="A68" t="s">
        <v>273</v>
      </c>
      <c r="B68" t="s">
        <v>301</v>
      </c>
      <c r="C68" t="s">
        <v>302</v>
      </c>
      <c r="D68" t="s">
        <v>303</v>
      </c>
      <c r="E68" t="s">
        <v>304</v>
      </c>
      <c r="F68" t="s">
        <v>305</v>
      </c>
      <c r="G68">
        <v>7000</v>
      </c>
      <c r="H68" t="s">
        <v>1044</v>
      </c>
      <c r="I68" t="str">
        <f t="shared" si="2"/>
        <v>2025.09.12</v>
      </c>
      <c r="J68">
        <f t="shared" si="3"/>
        <v>7238.8831437435365</v>
      </c>
    </row>
    <row r="69" spans="1:10" x14ac:dyDescent="0.3">
      <c r="A69" t="s">
        <v>273</v>
      </c>
      <c r="B69" t="s">
        <v>310</v>
      </c>
      <c r="C69" t="s">
        <v>311</v>
      </c>
      <c r="D69" t="s">
        <v>312</v>
      </c>
      <c r="E69" t="s">
        <v>313</v>
      </c>
      <c r="F69" t="s">
        <v>314</v>
      </c>
      <c r="G69">
        <v>7000</v>
      </c>
      <c r="H69" t="s">
        <v>1046</v>
      </c>
      <c r="I69" t="str">
        <f t="shared" si="2"/>
        <v>2025.09.15</v>
      </c>
      <c r="J69">
        <f t="shared" si="3"/>
        <v>7238.8831437435365</v>
      </c>
    </row>
    <row r="70" spans="1:10" x14ac:dyDescent="0.3">
      <c r="A70" t="s">
        <v>1060</v>
      </c>
      <c r="B70" t="s">
        <v>315</v>
      </c>
      <c r="C70" t="s">
        <v>316</v>
      </c>
      <c r="E70" t="s">
        <v>317</v>
      </c>
      <c r="F70" t="s">
        <v>318</v>
      </c>
      <c r="G70">
        <v>17000</v>
      </c>
      <c r="H70" t="s">
        <v>1044</v>
      </c>
      <c r="I70" t="str">
        <f t="shared" si="2"/>
        <v>2025.09.12</v>
      </c>
      <c r="J70">
        <f t="shared" si="3"/>
        <v>17580.144777662874</v>
      </c>
    </row>
    <row r="71" spans="1:10" x14ac:dyDescent="0.3">
      <c r="A71" s="5" t="s">
        <v>273</v>
      </c>
      <c r="B71" s="5" t="s">
        <v>319</v>
      </c>
      <c r="C71" s="5" t="s">
        <v>320</v>
      </c>
      <c r="D71" s="5"/>
      <c r="E71" s="5" t="s">
        <v>321</v>
      </c>
      <c r="F71" s="5" t="s">
        <v>322</v>
      </c>
      <c r="G71" s="5">
        <v>7000</v>
      </c>
      <c r="H71" s="5" t="s">
        <v>1044</v>
      </c>
      <c r="I71" t="str">
        <f t="shared" si="2"/>
        <v>2025.09.12</v>
      </c>
      <c r="J71">
        <f t="shared" si="3"/>
        <v>7238.8831437435365</v>
      </c>
    </row>
    <row r="72" spans="1:10" x14ac:dyDescent="0.3">
      <c r="A72" t="s">
        <v>273</v>
      </c>
      <c r="B72" t="s">
        <v>324</v>
      </c>
      <c r="C72" t="s">
        <v>325</v>
      </c>
      <c r="E72" t="s">
        <v>326</v>
      </c>
      <c r="F72" t="s">
        <v>327</v>
      </c>
      <c r="G72">
        <v>7000</v>
      </c>
      <c r="H72" t="s">
        <v>1051</v>
      </c>
      <c r="I72" t="str">
        <f t="shared" si="2"/>
        <v>2025.09.26</v>
      </c>
      <c r="J72">
        <f t="shared" si="3"/>
        <v>7238.8831437435365</v>
      </c>
    </row>
    <row r="73" spans="1:10" x14ac:dyDescent="0.3">
      <c r="A73" t="s">
        <v>273</v>
      </c>
      <c r="B73" t="s">
        <v>329</v>
      </c>
      <c r="C73" t="s">
        <v>330</v>
      </c>
      <c r="E73" t="s">
        <v>331</v>
      </c>
      <c r="F73" t="s">
        <v>332</v>
      </c>
      <c r="G73">
        <v>7000</v>
      </c>
      <c r="H73" t="s">
        <v>1049</v>
      </c>
      <c r="I73" t="str">
        <f t="shared" si="2"/>
        <v>2025.09.29</v>
      </c>
      <c r="J73">
        <f t="shared" si="3"/>
        <v>7238.8831437435365</v>
      </c>
    </row>
    <row r="74" spans="1:10" x14ac:dyDescent="0.3">
      <c r="A74" t="s">
        <v>333</v>
      </c>
      <c r="B74" t="s">
        <v>334</v>
      </c>
      <c r="C74" t="s">
        <v>335</v>
      </c>
      <c r="D74" t="s">
        <v>336</v>
      </c>
      <c r="E74" t="s">
        <v>337</v>
      </c>
      <c r="F74" t="s">
        <v>338</v>
      </c>
      <c r="G74">
        <v>7000</v>
      </c>
      <c r="H74" t="s">
        <v>1063</v>
      </c>
      <c r="I74" t="str">
        <f t="shared" si="2"/>
        <v>2025.09.09</v>
      </c>
      <c r="J74">
        <f t="shared" si="3"/>
        <v>7238.8831437435365</v>
      </c>
    </row>
    <row r="75" spans="1:10" x14ac:dyDescent="0.3">
      <c r="A75" t="s">
        <v>333</v>
      </c>
      <c r="B75" t="s">
        <v>339</v>
      </c>
      <c r="C75" t="s">
        <v>340</v>
      </c>
      <c r="D75" t="s">
        <v>341</v>
      </c>
      <c r="E75" t="s">
        <v>342</v>
      </c>
      <c r="F75" t="s">
        <v>343</v>
      </c>
      <c r="G75">
        <v>7000</v>
      </c>
      <c r="H75" t="s">
        <v>1044</v>
      </c>
      <c r="I75" t="str">
        <f t="shared" si="2"/>
        <v>2025.09.12</v>
      </c>
      <c r="J75">
        <f t="shared" si="3"/>
        <v>7238.8831437435365</v>
      </c>
    </row>
    <row r="76" spans="1:10" x14ac:dyDescent="0.3">
      <c r="A76" t="s">
        <v>333</v>
      </c>
      <c r="B76" t="s">
        <v>344</v>
      </c>
      <c r="C76" t="s">
        <v>345</v>
      </c>
      <c r="D76" t="s">
        <v>346</v>
      </c>
      <c r="E76" t="s">
        <v>347</v>
      </c>
      <c r="F76" t="s">
        <v>348</v>
      </c>
      <c r="G76">
        <v>7000</v>
      </c>
      <c r="H76" t="s">
        <v>1063</v>
      </c>
      <c r="I76" t="str">
        <f t="shared" si="2"/>
        <v>2025.09.09</v>
      </c>
      <c r="J76">
        <f t="shared" si="3"/>
        <v>7238.8831437435365</v>
      </c>
    </row>
    <row r="77" spans="1:10" x14ac:dyDescent="0.3">
      <c r="A77" t="s">
        <v>1064</v>
      </c>
      <c r="B77" t="s">
        <v>349</v>
      </c>
      <c r="C77" t="s">
        <v>350</v>
      </c>
      <c r="D77" t="s">
        <v>351</v>
      </c>
      <c r="E77" t="s">
        <v>352</v>
      </c>
      <c r="F77" t="s">
        <v>353</v>
      </c>
      <c r="G77">
        <v>17000</v>
      </c>
      <c r="H77" t="s">
        <v>1061</v>
      </c>
      <c r="I77" t="str">
        <f t="shared" si="2"/>
        <v>2025.09.18</v>
      </c>
      <c r="J77">
        <f t="shared" si="3"/>
        <v>17580.144777662874</v>
      </c>
    </row>
    <row r="78" spans="1:10" x14ac:dyDescent="0.3">
      <c r="A78" t="s">
        <v>333</v>
      </c>
      <c r="B78" t="s">
        <v>354</v>
      </c>
      <c r="C78" t="s">
        <v>355</v>
      </c>
      <c r="D78" t="s">
        <v>356</v>
      </c>
      <c r="E78" t="s">
        <v>357</v>
      </c>
      <c r="F78" t="s">
        <v>358</v>
      </c>
      <c r="G78">
        <v>7000</v>
      </c>
      <c r="H78" t="s">
        <v>1044</v>
      </c>
      <c r="I78" t="str">
        <f t="shared" si="2"/>
        <v>2025.09.12</v>
      </c>
      <c r="J78">
        <f t="shared" si="3"/>
        <v>7238.8831437435365</v>
      </c>
    </row>
    <row r="79" spans="1:10" x14ac:dyDescent="0.3">
      <c r="A79" t="s">
        <v>333</v>
      </c>
      <c r="B79" t="s">
        <v>362</v>
      </c>
      <c r="C79" t="s">
        <v>363</v>
      </c>
      <c r="D79" t="s">
        <v>364</v>
      </c>
      <c r="E79" t="s">
        <v>365</v>
      </c>
      <c r="F79" t="s">
        <v>366</v>
      </c>
      <c r="G79">
        <v>7000</v>
      </c>
      <c r="H79" t="s">
        <v>1061</v>
      </c>
      <c r="I79" t="str">
        <f t="shared" si="2"/>
        <v>2025.09.18</v>
      </c>
      <c r="J79">
        <f t="shared" si="3"/>
        <v>7238.8831437435365</v>
      </c>
    </row>
    <row r="80" spans="1:10" x14ac:dyDescent="0.3">
      <c r="A80" t="s">
        <v>1065</v>
      </c>
      <c r="B80" t="s">
        <v>367</v>
      </c>
      <c r="C80" t="s">
        <v>368</v>
      </c>
      <c r="D80" t="s">
        <v>369</v>
      </c>
      <c r="E80" t="s">
        <v>370</v>
      </c>
      <c r="F80" t="s">
        <v>371</v>
      </c>
      <c r="G80">
        <v>19950</v>
      </c>
      <c r="H80" t="s">
        <v>1066</v>
      </c>
      <c r="I80" t="str">
        <f t="shared" si="2"/>
        <v>2025.09.19</v>
      </c>
      <c r="J80">
        <f t="shared" si="3"/>
        <v>20630.816959669079</v>
      </c>
    </row>
    <row r="81" spans="1:10" x14ac:dyDescent="0.3">
      <c r="A81" t="s">
        <v>333</v>
      </c>
      <c r="B81" t="s">
        <v>372</v>
      </c>
      <c r="C81" t="s">
        <v>373</v>
      </c>
      <c r="E81" t="s">
        <v>374</v>
      </c>
      <c r="F81" t="s">
        <v>375</v>
      </c>
      <c r="G81">
        <v>7000</v>
      </c>
      <c r="H81" t="s">
        <v>1047</v>
      </c>
      <c r="I81" t="str">
        <f t="shared" si="2"/>
        <v>2025.09.22</v>
      </c>
      <c r="J81">
        <f t="shared" si="3"/>
        <v>7238.8831437435365</v>
      </c>
    </row>
    <row r="82" spans="1:10" x14ac:dyDescent="0.3">
      <c r="A82" t="s">
        <v>333</v>
      </c>
      <c r="B82" t="s">
        <v>376</v>
      </c>
      <c r="C82" t="s">
        <v>377</v>
      </c>
      <c r="E82" t="s">
        <v>378</v>
      </c>
      <c r="F82" t="s">
        <v>379</v>
      </c>
      <c r="G82">
        <v>7000</v>
      </c>
      <c r="H82" t="s">
        <v>1061</v>
      </c>
      <c r="I82" t="str">
        <f t="shared" si="2"/>
        <v>2025.09.18</v>
      </c>
      <c r="J82">
        <f t="shared" si="3"/>
        <v>7238.8831437435365</v>
      </c>
    </row>
    <row r="83" spans="1:10" x14ac:dyDescent="0.3">
      <c r="A83" t="s">
        <v>333</v>
      </c>
      <c r="B83" t="s">
        <v>380</v>
      </c>
      <c r="C83" t="s">
        <v>381</v>
      </c>
      <c r="E83" t="s">
        <v>382</v>
      </c>
      <c r="F83" t="s">
        <v>383</v>
      </c>
      <c r="G83">
        <v>7000</v>
      </c>
      <c r="H83" t="s">
        <v>1048</v>
      </c>
      <c r="I83" t="str">
        <f t="shared" si="2"/>
        <v>2025.09.24</v>
      </c>
      <c r="J83">
        <f t="shared" si="3"/>
        <v>7238.8831437435365</v>
      </c>
    </row>
    <row r="84" spans="1:10" x14ac:dyDescent="0.3">
      <c r="A84" t="s">
        <v>384</v>
      </c>
      <c r="B84" t="s">
        <v>386</v>
      </c>
      <c r="C84" t="s">
        <v>387</v>
      </c>
      <c r="D84" t="s">
        <v>388</v>
      </c>
      <c r="E84" t="s">
        <v>389</v>
      </c>
      <c r="F84" t="s">
        <v>390</v>
      </c>
      <c r="G84">
        <v>7000</v>
      </c>
      <c r="H84" t="s">
        <v>1046</v>
      </c>
      <c r="I84" t="str">
        <f t="shared" si="2"/>
        <v>2025.09.15</v>
      </c>
      <c r="J84">
        <f t="shared" si="3"/>
        <v>7238.8831437435365</v>
      </c>
    </row>
    <row r="85" spans="1:10" x14ac:dyDescent="0.3">
      <c r="A85" t="s">
        <v>1067</v>
      </c>
      <c r="B85" t="s">
        <v>391</v>
      </c>
      <c r="C85" t="s">
        <v>392</v>
      </c>
      <c r="D85" t="s">
        <v>393</v>
      </c>
      <c r="E85" t="s">
        <v>394</v>
      </c>
      <c r="F85" t="s">
        <v>395</v>
      </c>
      <c r="G85">
        <v>12150</v>
      </c>
      <c r="H85" t="s">
        <v>1045</v>
      </c>
      <c r="I85" t="str">
        <f t="shared" si="2"/>
        <v>2025.09.06</v>
      </c>
      <c r="J85">
        <f t="shared" si="3"/>
        <v>12564.632885211997</v>
      </c>
    </row>
    <row r="86" spans="1:10" x14ac:dyDescent="0.3">
      <c r="A86" t="s">
        <v>1068</v>
      </c>
      <c r="B86" t="s">
        <v>367</v>
      </c>
      <c r="C86" t="s">
        <v>997</v>
      </c>
      <c r="E86" t="s">
        <v>398</v>
      </c>
      <c r="F86" t="s">
        <v>399</v>
      </c>
      <c r="G86">
        <v>24530</v>
      </c>
      <c r="H86" t="s">
        <v>1047</v>
      </c>
      <c r="I86" t="str">
        <f t="shared" si="2"/>
        <v>2025.09.22</v>
      </c>
      <c r="J86">
        <f t="shared" si="3"/>
        <v>25367.114788004139</v>
      </c>
    </row>
    <row r="87" spans="1:10" x14ac:dyDescent="0.3">
      <c r="A87" t="s">
        <v>384</v>
      </c>
      <c r="B87" t="s">
        <v>402</v>
      </c>
      <c r="C87" t="s">
        <v>403</v>
      </c>
      <c r="D87" t="s">
        <v>404</v>
      </c>
      <c r="E87" t="s">
        <v>357</v>
      </c>
      <c r="F87" t="s">
        <v>358</v>
      </c>
      <c r="G87">
        <v>7000</v>
      </c>
      <c r="H87" t="s">
        <v>1044</v>
      </c>
      <c r="I87" t="str">
        <f t="shared" si="2"/>
        <v>2025.09.12</v>
      </c>
      <c r="J87">
        <f t="shared" si="3"/>
        <v>7238.8831437435365</v>
      </c>
    </row>
    <row r="88" spans="1:10" x14ac:dyDescent="0.3">
      <c r="A88" t="s">
        <v>384</v>
      </c>
      <c r="B88" t="s">
        <v>405</v>
      </c>
      <c r="C88" t="s">
        <v>406</v>
      </c>
      <c r="D88" t="s">
        <v>407</v>
      </c>
      <c r="E88" t="s">
        <v>408</v>
      </c>
      <c r="F88" t="s">
        <v>409</v>
      </c>
      <c r="G88">
        <v>7000</v>
      </c>
      <c r="H88" t="s">
        <v>1063</v>
      </c>
      <c r="I88" t="str">
        <f t="shared" si="2"/>
        <v>2025.09.09</v>
      </c>
      <c r="J88">
        <f t="shared" si="3"/>
        <v>7238.8831437435365</v>
      </c>
    </row>
    <row r="89" spans="1:10" x14ac:dyDescent="0.3">
      <c r="A89" t="s">
        <v>384</v>
      </c>
      <c r="B89" t="s">
        <v>411</v>
      </c>
      <c r="C89" t="s">
        <v>412</v>
      </c>
      <c r="D89" t="s">
        <v>413</v>
      </c>
      <c r="E89" t="s">
        <v>414</v>
      </c>
      <c r="F89" t="s">
        <v>415</v>
      </c>
      <c r="G89">
        <v>7000</v>
      </c>
      <c r="H89" t="s">
        <v>1044</v>
      </c>
      <c r="I89" t="str">
        <f t="shared" si="2"/>
        <v>2025.09.12</v>
      </c>
      <c r="J89">
        <f t="shared" si="3"/>
        <v>7238.8831437435365</v>
      </c>
    </row>
    <row r="90" spans="1:10" x14ac:dyDescent="0.3">
      <c r="A90" t="s">
        <v>384</v>
      </c>
      <c r="B90" t="s">
        <v>416</v>
      </c>
      <c r="C90" t="s">
        <v>417</v>
      </c>
      <c r="D90" t="s">
        <v>418</v>
      </c>
      <c r="E90" t="s">
        <v>419</v>
      </c>
      <c r="F90" t="s">
        <v>420</v>
      </c>
      <c r="G90">
        <v>7000</v>
      </c>
      <c r="H90" t="s">
        <v>1046</v>
      </c>
      <c r="I90" t="str">
        <f t="shared" si="2"/>
        <v>2025.09.15</v>
      </c>
      <c r="J90">
        <f t="shared" si="3"/>
        <v>7238.8831437435365</v>
      </c>
    </row>
    <row r="91" spans="1:10" x14ac:dyDescent="0.3">
      <c r="A91" t="s">
        <v>1067</v>
      </c>
      <c r="B91" t="s">
        <v>423</v>
      </c>
      <c r="E91" t="s">
        <v>424</v>
      </c>
      <c r="F91" t="s">
        <v>425</v>
      </c>
      <c r="G91">
        <v>12150</v>
      </c>
      <c r="H91" t="s">
        <v>1044</v>
      </c>
      <c r="I91" t="str">
        <f t="shared" si="2"/>
        <v>2025.09.12</v>
      </c>
      <c r="J91">
        <f t="shared" si="3"/>
        <v>12564.632885211997</v>
      </c>
    </row>
    <row r="92" spans="1:10" x14ac:dyDescent="0.3">
      <c r="A92" t="s">
        <v>384</v>
      </c>
      <c r="B92" t="s">
        <v>426</v>
      </c>
      <c r="C92" t="s">
        <v>427</v>
      </c>
      <c r="E92" t="s">
        <v>428</v>
      </c>
      <c r="F92" t="s">
        <v>429</v>
      </c>
      <c r="G92">
        <v>7800</v>
      </c>
      <c r="H92" t="s">
        <v>1046</v>
      </c>
      <c r="I92" t="str">
        <f t="shared" si="2"/>
        <v>2025.09.15</v>
      </c>
      <c r="J92">
        <f t="shared" si="3"/>
        <v>8066.1840744570836</v>
      </c>
    </row>
    <row r="93" spans="1:10" x14ac:dyDescent="0.3">
      <c r="A93" t="s">
        <v>384</v>
      </c>
      <c r="B93" t="s">
        <v>430</v>
      </c>
      <c r="C93" t="s">
        <v>431</v>
      </c>
      <c r="E93" t="s">
        <v>432</v>
      </c>
      <c r="F93" t="s">
        <v>433</v>
      </c>
      <c r="G93">
        <v>7800</v>
      </c>
      <c r="H93" t="s">
        <v>1061</v>
      </c>
      <c r="I93" t="str">
        <f t="shared" si="2"/>
        <v>2025.09.18</v>
      </c>
      <c r="J93">
        <f t="shared" si="3"/>
        <v>8066.1840744570836</v>
      </c>
    </row>
    <row r="94" spans="1:10" x14ac:dyDescent="0.3">
      <c r="A94" t="s">
        <v>384</v>
      </c>
      <c r="B94" t="s">
        <v>434</v>
      </c>
      <c r="C94" t="s">
        <v>435</v>
      </c>
      <c r="E94" t="s">
        <v>436</v>
      </c>
      <c r="F94" t="s">
        <v>437</v>
      </c>
      <c r="G94">
        <v>7800</v>
      </c>
      <c r="H94" t="s">
        <v>1061</v>
      </c>
      <c r="I94" t="str">
        <f t="shared" si="2"/>
        <v>2025.09.18</v>
      </c>
      <c r="J94">
        <f t="shared" si="3"/>
        <v>8066.1840744570836</v>
      </c>
    </row>
    <row r="95" spans="1:10" x14ac:dyDescent="0.3">
      <c r="A95" t="s">
        <v>384</v>
      </c>
      <c r="B95" t="s">
        <v>438</v>
      </c>
      <c r="C95" t="s">
        <v>439</v>
      </c>
      <c r="E95" t="s">
        <v>440</v>
      </c>
      <c r="F95" t="s">
        <v>441</v>
      </c>
      <c r="G95">
        <v>7800</v>
      </c>
      <c r="H95" t="s">
        <v>1066</v>
      </c>
      <c r="I95" t="str">
        <f t="shared" si="2"/>
        <v>2025.09.19</v>
      </c>
      <c r="J95">
        <f t="shared" si="3"/>
        <v>8066.1840744570836</v>
      </c>
    </row>
    <row r="96" spans="1:10" x14ac:dyDescent="0.3">
      <c r="A96" t="s">
        <v>1069</v>
      </c>
      <c r="B96" t="s">
        <v>443</v>
      </c>
      <c r="C96" t="s">
        <v>444</v>
      </c>
      <c r="D96" t="s">
        <v>445</v>
      </c>
      <c r="E96" t="s">
        <v>446</v>
      </c>
      <c r="F96" t="s">
        <v>447</v>
      </c>
      <c r="G96">
        <v>15050</v>
      </c>
      <c r="H96" t="s">
        <v>1070</v>
      </c>
      <c r="I96" t="str">
        <f t="shared" si="2"/>
        <v>2025.09.02</v>
      </c>
      <c r="J96">
        <f t="shared" si="3"/>
        <v>15563.598759048604</v>
      </c>
    </row>
    <row r="97" spans="1:10" x14ac:dyDescent="0.3">
      <c r="A97" t="s">
        <v>1069</v>
      </c>
      <c r="B97" t="s">
        <v>450</v>
      </c>
      <c r="C97" t="s">
        <v>451</v>
      </c>
      <c r="D97" t="s">
        <v>452</v>
      </c>
      <c r="E97" t="s">
        <v>453</v>
      </c>
      <c r="F97" t="s">
        <v>454</v>
      </c>
      <c r="G97">
        <v>15050</v>
      </c>
      <c r="H97" t="s">
        <v>1070</v>
      </c>
      <c r="I97" t="str">
        <f t="shared" si="2"/>
        <v>2025.09.02</v>
      </c>
      <c r="J97">
        <f t="shared" si="3"/>
        <v>15563.598759048604</v>
      </c>
    </row>
    <row r="98" spans="1:10" x14ac:dyDescent="0.3">
      <c r="A98" t="s">
        <v>442</v>
      </c>
      <c r="B98" t="s">
        <v>455</v>
      </c>
      <c r="C98" t="s">
        <v>456</v>
      </c>
      <c r="D98" t="s">
        <v>457</v>
      </c>
      <c r="E98" t="s">
        <v>458</v>
      </c>
      <c r="F98" t="s">
        <v>459</v>
      </c>
      <c r="G98">
        <v>5270</v>
      </c>
      <c r="H98" t="s">
        <v>1046</v>
      </c>
      <c r="I98" t="str">
        <f t="shared" si="2"/>
        <v>2025.09.15</v>
      </c>
      <c r="J98">
        <f t="shared" si="3"/>
        <v>5449.8448810754917</v>
      </c>
    </row>
    <row r="99" spans="1:10" x14ac:dyDescent="0.3">
      <c r="A99" t="s">
        <v>442</v>
      </c>
      <c r="B99" t="s">
        <v>461</v>
      </c>
      <c r="C99" t="s">
        <v>462</v>
      </c>
      <c r="D99" t="s">
        <v>463</v>
      </c>
      <c r="E99" t="s">
        <v>464</v>
      </c>
      <c r="F99" t="s">
        <v>465</v>
      </c>
      <c r="G99">
        <v>5270</v>
      </c>
      <c r="H99" t="s">
        <v>1045</v>
      </c>
      <c r="I99" t="str">
        <f t="shared" si="2"/>
        <v>2025.09.06</v>
      </c>
      <c r="J99">
        <f t="shared" si="3"/>
        <v>5449.8448810754917</v>
      </c>
    </row>
    <row r="100" spans="1:10" x14ac:dyDescent="0.3">
      <c r="A100" t="s">
        <v>442</v>
      </c>
      <c r="B100" t="s">
        <v>467</v>
      </c>
      <c r="C100" t="s">
        <v>468</v>
      </c>
      <c r="D100" t="s">
        <v>469</v>
      </c>
      <c r="E100" t="s">
        <v>470</v>
      </c>
      <c r="F100" t="s">
        <v>471</v>
      </c>
      <c r="G100">
        <v>5150</v>
      </c>
      <c r="H100" t="s">
        <v>1063</v>
      </c>
      <c r="I100" t="str">
        <f t="shared" si="2"/>
        <v>2025.09.09</v>
      </c>
      <c r="J100">
        <f t="shared" si="3"/>
        <v>5325.7497414684594</v>
      </c>
    </row>
    <row r="101" spans="1:10" x14ac:dyDescent="0.3">
      <c r="A101" t="s">
        <v>442</v>
      </c>
      <c r="B101" t="s">
        <v>472</v>
      </c>
      <c r="C101" t="s">
        <v>473</v>
      </c>
      <c r="D101" t="s">
        <v>474</v>
      </c>
      <c r="E101" t="s">
        <v>475</v>
      </c>
      <c r="F101" t="s">
        <v>476</v>
      </c>
      <c r="G101">
        <v>5150</v>
      </c>
      <c r="H101" t="s">
        <v>1044</v>
      </c>
      <c r="I101" t="str">
        <f t="shared" si="2"/>
        <v>2025.09.12</v>
      </c>
      <c r="J101">
        <f t="shared" si="3"/>
        <v>5325.7497414684594</v>
      </c>
    </row>
    <row r="102" spans="1:10" x14ac:dyDescent="0.3">
      <c r="A102" t="s">
        <v>442</v>
      </c>
      <c r="B102" t="s">
        <v>477</v>
      </c>
      <c r="E102" t="s">
        <v>478</v>
      </c>
      <c r="F102" t="s">
        <v>479</v>
      </c>
      <c r="G102">
        <v>5150</v>
      </c>
      <c r="H102" t="s">
        <v>1061</v>
      </c>
      <c r="I102" t="str">
        <f t="shared" si="2"/>
        <v>2025.09.18</v>
      </c>
      <c r="J102">
        <f t="shared" si="3"/>
        <v>5325.7497414684594</v>
      </c>
    </row>
    <row r="103" spans="1:10" x14ac:dyDescent="0.3">
      <c r="A103" t="s">
        <v>442</v>
      </c>
      <c r="B103" t="s">
        <v>480</v>
      </c>
      <c r="C103" t="s">
        <v>481</v>
      </c>
      <c r="D103" t="s">
        <v>482</v>
      </c>
      <c r="E103" t="s">
        <v>483</v>
      </c>
      <c r="F103" t="s">
        <v>484</v>
      </c>
      <c r="G103">
        <v>5150</v>
      </c>
      <c r="H103" t="s">
        <v>1063</v>
      </c>
      <c r="I103" t="str">
        <f t="shared" si="2"/>
        <v>2025.09.09</v>
      </c>
      <c r="J103">
        <f t="shared" si="3"/>
        <v>5325.7497414684594</v>
      </c>
    </row>
    <row r="104" spans="1:10" x14ac:dyDescent="0.3">
      <c r="A104" t="s">
        <v>442</v>
      </c>
      <c r="B104" t="s">
        <v>486</v>
      </c>
      <c r="C104" t="s">
        <v>487</v>
      </c>
      <c r="D104" t="s">
        <v>488</v>
      </c>
      <c r="E104" t="s">
        <v>489</v>
      </c>
      <c r="F104" t="s">
        <v>490</v>
      </c>
      <c r="G104">
        <v>5150</v>
      </c>
      <c r="H104" t="s">
        <v>1061</v>
      </c>
      <c r="I104" t="str">
        <f t="shared" si="2"/>
        <v>2025.09.18</v>
      </c>
      <c r="J104">
        <f t="shared" si="3"/>
        <v>5325.7497414684594</v>
      </c>
    </row>
    <row r="105" spans="1:10" x14ac:dyDescent="0.3">
      <c r="A105" t="s">
        <v>442</v>
      </c>
      <c r="B105" t="s">
        <v>492</v>
      </c>
      <c r="C105" t="s">
        <v>493</v>
      </c>
      <c r="D105" t="s">
        <v>494</v>
      </c>
      <c r="E105" t="s">
        <v>495</v>
      </c>
      <c r="F105" t="s">
        <v>496</v>
      </c>
      <c r="G105">
        <v>5150</v>
      </c>
      <c r="H105" t="s">
        <v>1046</v>
      </c>
      <c r="I105" t="str">
        <f t="shared" si="2"/>
        <v>2025.09.15</v>
      </c>
      <c r="J105">
        <f t="shared" si="3"/>
        <v>5325.7497414684594</v>
      </c>
    </row>
    <row r="106" spans="1:10" x14ac:dyDescent="0.3">
      <c r="A106" t="s">
        <v>442</v>
      </c>
      <c r="B106" t="s">
        <v>497</v>
      </c>
      <c r="C106" t="s">
        <v>498</v>
      </c>
      <c r="E106" t="s">
        <v>499</v>
      </c>
      <c r="F106" t="s">
        <v>500</v>
      </c>
      <c r="G106">
        <v>5150</v>
      </c>
      <c r="H106" t="s">
        <v>1046</v>
      </c>
      <c r="I106" t="str">
        <f t="shared" si="2"/>
        <v>2025.09.15</v>
      </c>
      <c r="J106">
        <f t="shared" si="3"/>
        <v>5325.7497414684594</v>
      </c>
    </row>
    <row r="107" spans="1:10" x14ac:dyDescent="0.3">
      <c r="A107" t="s">
        <v>442</v>
      </c>
      <c r="B107" t="s">
        <v>501</v>
      </c>
      <c r="C107" t="s">
        <v>502</v>
      </c>
      <c r="E107" t="s">
        <v>503</v>
      </c>
      <c r="F107" t="s">
        <v>504</v>
      </c>
      <c r="G107">
        <v>5150</v>
      </c>
      <c r="H107" t="s">
        <v>1046</v>
      </c>
      <c r="I107" t="str">
        <f t="shared" si="2"/>
        <v>2025.09.15</v>
      </c>
      <c r="J107">
        <f t="shared" si="3"/>
        <v>5325.7497414684594</v>
      </c>
    </row>
    <row r="108" spans="1:10" x14ac:dyDescent="0.3">
      <c r="A108" t="s">
        <v>442</v>
      </c>
      <c r="B108" t="s">
        <v>505</v>
      </c>
      <c r="E108" t="s">
        <v>506</v>
      </c>
      <c r="F108" t="s">
        <v>507</v>
      </c>
      <c r="G108">
        <v>5150</v>
      </c>
      <c r="H108" t="s">
        <v>1066</v>
      </c>
      <c r="I108" t="str">
        <f t="shared" si="2"/>
        <v>2025.09.19</v>
      </c>
      <c r="J108">
        <f t="shared" si="3"/>
        <v>5325.7497414684594</v>
      </c>
    </row>
    <row r="109" spans="1:10" x14ac:dyDescent="0.3">
      <c r="A109" t="s">
        <v>1071</v>
      </c>
      <c r="B109" t="s">
        <v>508</v>
      </c>
      <c r="C109" t="s">
        <v>917</v>
      </c>
      <c r="E109" t="s">
        <v>509</v>
      </c>
      <c r="F109" t="s">
        <v>510</v>
      </c>
      <c r="G109">
        <v>15680</v>
      </c>
      <c r="H109" t="s">
        <v>1051</v>
      </c>
      <c r="I109" t="str">
        <f t="shared" si="2"/>
        <v>2025.09.26</v>
      </c>
      <c r="J109">
        <f t="shared" si="3"/>
        <v>16215.098241985523</v>
      </c>
    </row>
    <row r="110" spans="1:10" x14ac:dyDescent="0.3">
      <c r="A110" t="s">
        <v>442</v>
      </c>
      <c r="B110" t="s">
        <v>511</v>
      </c>
      <c r="C110" t="s">
        <v>512</v>
      </c>
      <c r="E110" t="s">
        <v>513</v>
      </c>
      <c r="F110" t="s">
        <v>514</v>
      </c>
      <c r="G110">
        <v>5150</v>
      </c>
      <c r="H110" t="s">
        <v>1072</v>
      </c>
      <c r="I110" t="str">
        <f t="shared" si="2"/>
        <v>2025.09.23</v>
      </c>
      <c r="J110">
        <f t="shared" si="3"/>
        <v>5325.7497414684594</v>
      </c>
    </row>
    <row r="111" spans="1:10" x14ac:dyDescent="0.3">
      <c r="A111" t="s">
        <v>442</v>
      </c>
      <c r="B111" t="s">
        <v>516</v>
      </c>
      <c r="C111" t="s">
        <v>517</v>
      </c>
      <c r="E111" t="s">
        <v>518</v>
      </c>
      <c r="F111" t="s">
        <v>519</v>
      </c>
      <c r="G111">
        <v>4150</v>
      </c>
      <c r="H111" t="s">
        <v>1066</v>
      </c>
      <c r="I111" t="str">
        <f t="shared" si="2"/>
        <v>2025.09.19</v>
      </c>
      <c r="J111">
        <f t="shared" si="3"/>
        <v>4291.6235780765255</v>
      </c>
    </row>
    <row r="112" spans="1:10" x14ac:dyDescent="0.3">
      <c r="A112" t="s">
        <v>521</v>
      </c>
      <c r="B112" t="s">
        <v>522</v>
      </c>
      <c r="C112" t="s">
        <v>523</v>
      </c>
      <c r="D112" t="s">
        <v>524</v>
      </c>
      <c r="E112" t="s">
        <v>525</v>
      </c>
      <c r="F112" t="s">
        <v>526</v>
      </c>
      <c r="G112">
        <v>11700</v>
      </c>
      <c r="H112" t="s">
        <v>1070</v>
      </c>
      <c r="I112" t="str">
        <f t="shared" si="2"/>
        <v>2025.09.02</v>
      </c>
      <c r="J112">
        <f t="shared" si="3"/>
        <v>12099.276111685625</v>
      </c>
    </row>
    <row r="113" spans="1:10" x14ac:dyDescent="0.3">
      <c r="A113" t="s">
        <v>521</v>
      </c>
      <c r="B113" t="s">
        <v>528</v>
      </c>
      <c r="C113" t="s">
        <v>529</v>
      </c>
      <c r="D113" t="s">
        <v>530</v>
      </c>
      <c r="E113" t="s">
        <v>531</v>
      </c>
      <c r="F113" t="s">
        <v>532</v>
      </c>
      <c r="G113">
        <v>11700</v>
      </c>
      <c r="H113" t="s">
        <v>1070</v>
      </c>
      <c r="I113" t="str">
        <f t="shared" si="2"/>
        <v>2025.09.02</v>
      </c>
      <c r="J113">
        <f t="shared" si="3"/>
        <v>12099.276111685625</v>
      </c>
    </row>
    <row r="114" spans="1:10" x14ac:dyDescent="0.3">
      <c r="A114" t="s">
        <v>1073</v>
      </c>
      <c r="B114" t="s">
        <v>533</v>
      </c>
      <c r="C114" t="s">
        <v>534</v>
      </c>
      <c r="D114" t="s">
        <v>535</v>
      </c>
      <c r="E114" t="s">
        <v>536</v>
      </c>
      <c r="F114" t="s">
        <v>537</v>
      </c>
      <c r="G114">
        <v>20000</v>
      </c>
      <c r="H114" t="s">
        <v>1070</v>
      </c>
      <c r="I114" t="str">
        <f t="shared" si="2"/>
        <v>2025.09.02</v>
      </c>
      <c r="J114">
        <f t="shared" si="3"/>
        <v>20682.523267838678</v>
      </c>
    </row>
    <row r="115" spans="1:10" x14ac:dyDescent="0.3">
      <c r="A115" t="s">
        <v>1074</v>
      </c>
      <c r="B115" t="s">
        <v>539</v>
      </c>
      <c r="C115" t="s">
        <v>540</v>
      </c>
      <c r="D115" t="s">
        <v>541</v>
      </c>
      <c r="E115" t="s">
        <v>542</v>
      </c>
      <c r="F115" t="s">
        <v>543</v>
      </c>
      <c r="G115">
        <v>20000</v>
      </c>
      <c r="H115" t="s">
        <v>1045</v>
      </c>
      <c r="I115" t="str">
        <f t="shared" si="2"/>
        <v>2025.09.06</v>
      </c>
      <c r="J115">
        <f t="shared" si="3"/>
        <v>20682.523267838678</v>
      </c>
    </row>
    <row r="116" spans="1:10" x14ac:dyDescent="0.3">
      <c r="A116" t="s">
        <v>521</v>
      </c>
      <c r="B116" t="s">
        <v>544</v>
      </c>
      <c r="C116" t="s">
        <v>545</v>
      </c>
      <c r="D116" t="s">
        <v>546</v>
      </c>
      <c r="E116" t="s">
        <v>547</v>
      </c>
      <c r="F116" t="s">
        <v>548</v>
      </c>
      <c r="G116">
        <v>10000</v>
      </c>
      <c r="H116" t="s">
        <v>1070</v>
      </c>
      <c r="I116" t="str">
        <f t="shared" si="2"/>
        <v>2025.09.02</v>
      </c>
      <c r="J116">
        <f t="shared" si="3"/>
        <v>10341.261633919339</v>
      </c>
    </row>
    <row r="117" spans="1:10" x14ac:dyDescent="0.3">
      <c r="A117" t="s">
        <v>521</v>
      </c>
      <c r="B117" t="s">
        <v>549</v>
      </c>
      <c r="C117" t="s">
        <v>550</v>
      </c>
      <c r="D117" t="s">
        <v>551</v>
      </c>
      <c r="E117" t="s">
        <v>552</v>
      </c>
      <c r="F117" t="s">
        <v>553</v>
      </c>
      <c r="G117">
        <v>10000</v>
      </c>
      <c r="H117" t="s">
        <v>1070</v>
      </c>
      <c r="I117" t="str">
        <f t="shared" si="2"/>
        <v>2025.09.02</v>
      </c>
      <c r="J117">
        <f t="shared" si="3"/>
        <v>10341.261633919339</v>
      </c>
    </row>
    <row r="118" spans="1:10" x14ac:dyDescent="0.3">
      <c r="A118" t="s">
        <v>521</v>
      </c>
      <c r="B118" t="s">
        <v>554</v>
      </c>
      <c r="C118" t="s">
        <v>555</v>
      </c>
      <c r="D118" t="s">
        <v>556</v>
      </c>
      <c r="E118" t="s">
        <v>557</v>
      </c>
      <c r="F118" t="s">
        <v>558</v>
      </c>
      <c r="G118">
        <v>10000</v>
      </c>
      <c r="H118" t="s">
        <v>1070</v>
      </c>
      <c r="I118" t="str">
        <f t="shared" si="2"/>
        <v>2025.09.02</v>
      </c>
      <c r="J118">
        <f t="shared" si="3"/>
        <v>10341.261633919339</v>
      </c>
    </row>
    <row r="119" spans="1:10" x14ac:dyDescent="0.3">
      <c r="A119" t="s">
        <v>521</v>
      </c>
      <c r="B119" t="s">
        <v>559</v>
      </c>
      <c r="C119" t="s">
        <v>560</v>
      </c>
      <c r="D119" t="s">
        <v>561</v>
      </c>
      <c r="E119" t="s">
        <v>562</v>
      </c>
      <c r="F119" t="s">
        <v>563</v>
      </c>
      <c r="G119">
        <v>10000</v>
      </c>
      <c r="H119" t="s">
        <v>1070</v>
      </c>
      <c r="I119" t="str">
        <f t="shared" si="2"/>
        <v>2025.09.02</v>
      </c>
      <c r="J119">
        <f t="shared" si="3"/>
        <v>10341.261633919339</v>
      </c>
    </row>
    <row r="120" spans="1:10" x14ac:dyDescent="0.3">
      <c r="A120" t="s">
        <v>521</v>
      </c>
      <c r="B120" t="s">
        <v>564</v>
      </c>
      <c r="C120" t="s">
        <v>565</v>
      </c>
      <c r="D120" t="s">
        <v>566</v>
      </c>
      <c r="E120" t="s">
        <v>567</v>
      </c>
      <c r="F120" t="s">
        <v>568</v>
      </c>
      <c r="G120">
        <v>10000</v>
      </c>
      <c r="H120" t="s">
        <v>1075</v>
      </c>
      <c r="I120" t="str">
        <f t="shared" si="2"/>
        <v>2025.09.03</v>
      </c>
      <c r="J120">
        <f t="shared" si="3"/>
        <v>10341.261633919339</v>
      </c>
    </row>
    <row r="121" spans="1:10" x14ac:dyDescent="0.3">
      <c r="A121" t="s">
        <v>1074</v>
      </c>
      <c r="B121" t="s">
        <v>570</v>
      </c>
      <c r="C121" t="s">
        <v>571</v>
      </c>
      <c r="D121" t="s">
        <v>572</v>
      </c>
      <c r="E121" t="s">
        <v>573</v>
      </c>
      <c r="F121" t="s">
        <v>574</v>
      </c>
      <c r="G121">
        <v>20000</v>
      </c>
      <c r="H121" t="s">
        <v>1045</v>
      </c>
      <c r="I121" t="str">
        <f t="shared" si="2"/>
        <v>2025.09.06</v>
      </c>
      <c r="J121">
        <f t="shared" si="3"/>
        <v>20682.523267838678</v>
      </c>
    </row>
    <row r="122" spans="1:10" x14ac:dyDescent="0.3">
      <c r="A122" s="5" t="s">
        <v>1074</v>
      </c>
      <c r="B122" s="5" t="s">
        <v>575</v>
      </c>
      <c r="C122" s="5" t="s">
        <v>576</v>
      </c>
      <c r="D122" s="5" t="s">
        <v>577</v>
      </c>
      <c r="E122" s="5" t="s">
        <v>578</v>
      </c>
      <c r="F122" s="5" t="s">
        <v>579</v>
      </c>
      <c r="G122" s="5">
        <v>20000</v>
      </c>
      <c r="H122" s="5" t="s">
        <v>1045</v>
      </c>
      <c r="I122" t="str">
        <f t="shared" si="2"/>
        <v>2025.09.06</v>
      </c>
      <c r="J122">
        <f t="shared" si="3"/>
        <v>20682.523267838678</v>
      </c>
    </row>
    <row r="123" spans="1:10" x14ac:dyDescent="0.3">
      <c r="A123" t="s">
        <v>521</v>
      </c>
      <c r="B123" t="s">
        <v>582</v>
      </c>
      <c r="C123" t="s">
        <v>583</v>
      </c>
      <c r="D123" t="s">
        <v>584</v>
      </c>
      <c r="E123" t="s">
        <v>585</v>
      </c>
      <c r="F123" t="s">
        <v>586</v>
      </c>
      <c r="G123">
        <v>10000</v>
      </c>
      <c r="H123" t="s">
        <v>1075</v>
      </c>
      <c r="I123" t="str">
        <f t="shared" si="2"/>
        <v>2025.09.03</v>
      </c>
      <c r="J123">
        <f t="shared" si="3"/>
        <v>10341.261633919339</v>
      </c>
    </row>
    <row r="124" spans="1:10" x14ac:dyDescent="0.3">
      <c r="A124" t="s">
        <v>521</v>
      </c>
      <c r="B124" t="s">
        <v>587</v>
      </c>
      <c r="C124" t="s">
        <v>588</v>
      </c>
      <c r="D124" t="s">
        <v>589</v>
      </c>
      <c r="E124" t="s">
        <v>590</v>
      </c>
      <c r="F124" t="s">
        <v>591</v>
      </c>
      <c r="G124">
        <v>10000</v>
      </c>
      <c r="H124" t="s">
        <v>1075</v>
      </c>
      <c r="I124" t="str">
        <f t="shared" si="2"/>
        <v>2025.09.03</v>
      </c>
      <c r="J124">
        <f t="shared" si="3"/>
        <v>10341.261633919339</v>
      </c>
    </row>
    <row r="125" spans="1:10" x14ac:dyDescent="0.3">
      <c r="A125" s="5" t="s">
        <v>521</v>
      </c>
      <c r="B125" s="5" t="s">
        <v>592</v>
      </c>
      <c r="C125" s="5" t="s">
        <v>593</v>
      </c>
      <c r="D125" s="5" t="s">
        <v>594</v>
      </c>
      <c r="E125" s="5" t="s">
        <v>595</v>
      </c>
      <c r="F125" s="5" t="s">
        <v>596</v>
      </c>
      <c r="G125" s="5">
        <v>10000</v>
      </c>
      <c r="H125" s="5" t="s">
        <v>1075</v>
      </c>
      <c r="I125" t="str">
        <f t="shared" si="2"/>
        <v>2025.09.03</v>
      </c>
      <c r="J125">
        <f t="shared" si="3"/>
        <v>10341.261633919339</v>
      </c>
    </row>
    <row r="126" spans="1:10" x14ac:dyDescent="0.3">
      <c r="A126" t="s">
        <v>521</v>
      </c>
      <c r="B126" t="s">
        <v>597</v>
      </c>
      <c r="C126" t="s">
        <v>598</v>
      </c>
      <c r="D126" t="s">
        <v>599</v>
      </c>
      <c r="E126" t="s">
        <v>600</v>
      </c>
      <c r="F126" t="s">
        <v>601</v>
      </c>
      <c r="G126">
        <v>10020</v>
      </c>
      <c r="H126" t="s">
        <v>1075</v>
      </c>
      <c r="I126" t="str">
        <f t="shared" si="2"/>
        <v>2025.09.03</v>
      </c>
      <c r="J126">
        <f t="shared" si="3"/>
        <v>10361.944157187178</v>
      </c>
    </row>
    <row r="127" spans="1:10" x14ac:dyDescent="0.3">
      <c r="A127" t="s">
        <v>521</v>
      </c>
      <c r="B127" t="s">
        <v>603</v>
      </c>
      <c r="C127" t="s">
        <v>604</v>
      </c>
      <c r="D127" t="s">
        <v>605</v>
      </c>
      <c r="E127" t="s">
        <v>606</v>
      </c>
      <c r="F127" t="s">
        <v>607</v>
      </c>
      <c r="G127">
        <v>10020</v>
      </c>
      <c r="H127" t="s">
        <v>1063</v>
      </c>
      <c r="I127" t="str">
        <f t="shared" si="2"/>
        <v>2025.09.09</v>
      </c>
      <c r="J127">
        <f t="shared" si="3"/>
        <v>10361.944157187178</v>
      </c>
    </row>
    <row r="128" spans="1:10" x14ac:dyDescent="0.3">
      <c r="A128" t="s">
        <v>521</v>
      </c>
      <c r="B128" t="s">
        <v>608</v>
      </c>
      <c r="C128" t="s">
        <v>609</v>
      </c>
      <c r="D128" t="s">
        <v>610</v>
      </c>
      <c r="E128" t="s">
        <v>611</v>
      </c>
      <c r="F128" t="s">
        <v>612</v>
      </c>
      <c r="G128">
        <v>10020</v>
      </c>
      <c r="H128" t="s">
        <v>1075</v>
      </c>
      <c r="I128" t="str">
        <f t="shared" si="2"/>
        <v>2025.09.03</v>
      </c>
      <c r="J128">
        <f t="shared" si="3"/>
        <v>10361.944157187178</v>
      </c>
    </row>
    <row r="129" spans="1:10" x14ac:dyDescent="0.3">
      <c r="A129" t="s">
        <v>521</v>
      </c>
      <c r="B129" t="s">
        <v>613</v>
      </c>
      <c r="C129" t="s">
        <v>614</v>
      </c>
      <c r="D129" t="s">
        <v>615</v>
      </c>
      <c r="E129" t="s">
        <v>616</v>
      </c>
      <c r="F129" t="s">
        <v>617</v>
      </c>
      <c r="G129">
        <v>10020</v>
      </c>
      <c r="H129" t="s">
        <v>1045</v>
      </c>
      <c r="I129" t="str">
        <f t="shared" si="2"/>
        <v>2025.09.06</v>
      </c>
      <c r="J129">
        <f t="shared" si="3"/>
        <v>10361.944157187178</v>
      </c>
    </row>
    <row r="130" spans="1:10" x14ac:dyDescent="0.3">
      <c r="A130" t="s">
        <v>521</v>
      </c>
      <c r="B130" t="s">
        <v>618</v>
      </c>
      <c r="C130" t="s">
        <v>619</v>
      </c>
      <c r="E130" t="s">
        <v>620</v>
      </c>
      <c r="F130" t="s">
        <v>621</v>
      </c>
      <c r="G130">
        <v>10020</v>
      </c>
      <c r="H130" t="s">
        <v>1045</v>
      </c>
      <c r="I130" t="str">
        <f t="shared" si="2"/>
        <v>2025.09.06</v>
      </c>
      <c r="J130">
        <f t="shared" si="3"/>
        <v>10361.944157187178</v>
      </c>
    </row>
    <row r="131" spans="1:10" x14ac:dyDescent="0.3">
      <c r="A131" t="s">
        <v>521</v>
      </c>
      <c r="B131" t="s">
        <v>627</v>
      </c>
      <c r="C131" t="s">
        <v>628</v>
      </c>
      <c r="D131" t="s">
        <v>629</v>
      </c>
      <c r="E131" t="s">
        <v>630</v>
      </c>
      <c r="F131" t="s">
        <v>631</v>
      </c>
      <c r="G131">
        <v>10530</v>
      </c>
      <c r="H131" t="s">
        <v>1044</v>
      </c>
      <c r="I131" t="str">
        <f t="shared" ref="I131:I194" si="4">TEXT(DATE(2000+LEFT(H131,2), MID(H131,3,2), RIGHT(H131,2)), "yyyy.mm.dd")</f>
        <v>2025.09.12</v>
      </c>
      <c r="J131">
        <f t="shared" ref="J131:J194" si="5">G131/0.967</f>
        <v>10889.348500517064</v>
      </c>
    </row>
    <row r="132" spans="1:10" x14ac:dyDescent="0.3">
      <c r="A132" t="s">
        <v>521</v>
      </c>
      <c r="B132" t="s">
        <v>632</v>
      </c>
      <c r="C132" t="s">
        <v>633</v>
      </c>
      <c r="D132" t="s">
        <v>634</v>
      </c>
      <c r="E132" t="s">
        <v>635</v>
      </c>
      <c r="F132" t="s">
        <v>636</v>
      </c>
      <c r="G132">
        <v>10530</v>
      </c>
      <c r="H132" t="s">
        <v>1044</v>
      </c>
      <c r="I132" t="str">
        <f t="shared" si="4"/>
        <v>2025.09.12</v>
      </c>
      <c r="J132">
        <f t="shared" si="5"/>
        <v>10889.348500517064</v>
      </c>
    </row>
    <row r="133" spans="1:10" x14ac:dyDescent="0.3">
      <c r="A133" t="s">
        <v>521</v>
      </c>
      <c r="B133" t="s">
        <v>637</v>
      </c>
      <c r="C133" t="s">
        <v>638</v>
      </c>
      <c r="D133" t="s">
        <v>639</v>
      </c>
      <c r="E133" t="s">
        <v>640</v>
      </c>
      <c r="F133" t="s">
        <v>641</v>
      </c>
      <c r="G133">
        <v>10530</v>
      </c>
      <c r="H133" t="s">
        <v>1061</v>
      </c>
      <c r="I133" t="str">
        <f t="shared" si="4"/>
        <v>2025.09.18</v>
      </c>
      <c r="J133">
        <f t="shared" si="5"/>
        <v>10889.348500517064</v>
      </c>
    </row>
    <row r="134" spans="1:10" x14ac:dyDescent="0.3">
      <c r="A134" t="s">
        <v>521</v>
      </c>
      <c r="B134" t="s">
        <v>642</v>
      </c>
      <c r="C134" t="s">
        <v>643</v>
      </c>
      <c r="D134" t="s">
        <v>644</v>
      </c>
      <c r="E134" t="s">
        <v>645</v>
      </c>
      <c r="F134" t="s">
        <v>646</v>
      </c>
      <c r="G134">
        <v>10530</v>
      </c>
      <c r="H134" t="s">
        <v>1044</v>
      </c>
      <c r="I134" t="str">
        <f t="shared" si="4"/>
        <v>2025.09.12</v>
      </c>
      <c r="J134">
        <f t="shared" si="5"/>
        <v>10889.348500517064</v>
      </c>
    </row>
    <row r="135" spans="1:10" x14ac:dyDescent="0.3">
      <c r="A135" t="s">
        <v>521</v>
      </c>
      <c r="B135" t="s">
        <v>647</v>
      </c>
      <c r="C135" t="s">
        <v>648</v>
      </c>
      <c r="D135" t="s">
        <v>649</v>
      </c>
      <c r="E135" t="s">
        <v>650</v>
      </c>
      <c r="F135" t="s">
        <v>651</v>
      </c>
      <c r="G135">
        <v>10530</v>
      </c>
      <c r="H135" t="s">
        <v>1044</v>
      </c>
      <c r="I135" t="str">
        <f t="shared" si="4"/>
        <v>2025.09.12</v>
      </c>
      <c r="J135">
        <f t="shared" si="5"/>
        <v>10889.348500517064</v>
      </c>
    </row>
    <row r="136" spans="1:10" x14ac:dyDescent="0.3">
      <c r="A136" t="s">
        <v>521</v>
      </c>
      <c r="B136" t="s">
        <v>652</v>
      </c>
      <c r="C136" t="s">
        <v>653</v>
      </c>
      <c r="D136" t="s">
        <v>654</v>
      </c>
      <c r="E136" t="s">
        <v>655</v>
      </c>
      <c r="F136" t="s">
        <v>656</v>
      </c>
      <c r="G136">
        <v>10530</v>
      </c>
      <c r="H136" t="s">
        <v>1044</v>
      </c>
      <c r="I136" t="str">
        <f t="shared" si="4"/>
        <v>2025.09.12</v>
      </c>
      <c r="J136">
        <f t="shared" si="5"/>
        <v>10889.348500517064</v>
      </c>
    </row>
    <row r="137" spans="1:10" x14ac:dyDescent="0.3">
      <c r="A137" t="s">
        <v>521</v>
      </c>
      <c r="B137" t="s">
        <v>657</v>
      </c>
      <c r="C137" t="s">
        <v>658</v>
      </c>
      <c r="E137" t="s">
        <v>659</v>
      </c>
      <c r="F137" t="s">
        <v>660</v>
      </c>
      <c r="G137">
        <v>10530</v>
      </c>
      <c r="H137" t="s">
        <v>1044</v>
      </c>
      <c r="I137" t="str">
        <f t="shared" si="4"/>
        <v>2025.09.12</v>
      </c>
      <c r="J137">
        <f t="shared" si="5"/>
        <v>10889.348500517064</v>
      </c>
    </row>
    <row r="138" spans="1:10" x14ac:dyDescent="0.3">
      <c r="A138" t="s">
        <v>1073</v>
      </c>
      <c r="B138" t="s">
        <v>661</v>
      </c>
      <c r="C138" t="s">
        <v>878</v>
      </c>
      <c r="E138" t="s">
        <v>663</v>
      </c>
      <c r="F138" t="s">
        <v>664</v>
      </c>
      <c r="G138">
        <v>21060</v>
      </c>
      <c r="H138" t="s">
        <v>1061</v>
      </c>
      <c r="I138" t="str">
        <f t="shared" si="4"/>
        <v>2025.09.18</v>
      </c>
      <c r="J138">
        <f t="shared" si="5"/>
        <v>21778.697001034128</v>
      </c>
    </row>
    <row r="139" spans="1:10" x14ac:dyDescent="0.3">
      <c r="A139" t="s">
        <v>521</v>
      </c>
      <c r="B139" t="s">
        <v>665</v>
      </c>
      <c r="C139" t="s">
        <v>666</v>
      </c>
      <c r="E139" t="s">
        <v>667</v>
      </c>
      <c r="F139" t="s">
        <v>668</v>
      </c>
      <c r="G139">
        <v>10530</v>
      </c>
      <c r="H139" t="s">
        <v>1046</v>
      </c>
      <c r="I139" t="str">
        <f t="shared" si="4"/>
        <v>2025.09.15</v>
      </c>
      <c r="J139">
        <f t="shared" si="5"/>
        <v>10889.348500517064</v>
      </c>
    </row>
    <row r="140" spans="1:10" x14ac:dyDescent="0.3">
      <c r="A140" t="s">
        <v>521</v>
      </c>
      <c r="B140" t="s">
        <v>669</v>
      </c>
      <c r="C140" t="s">
        <v>670</v>
      </c>
      <c r="E140" t="s">
        <v>671</v>
      </c>
      <c r="F140" t="s">
        <v>672</v>
      </c>
      <c r="G140">
        <v>10530</v>
      </c>
      <c r="H140" t="s">
        <v>1044</v>
      </c>
      <c r="I140" t="str">
        <f t="shared" si="4"/>
        <v>2025.09.12</v>
      </c>
      <c r="J140">
        <f t="shared" si="5"/>
        <v>10889.348500517064</v>
      </c>
    </row>
    <row r="141" spans="1:10" x14ac:dyDescent="0.3">
      <c r="A141" t="s">
        <v>521</v>
      </c>
      <c r="B141" t="s">
        <v>673</v>
      </c>
      <c r="C141" t="s">
        <v>674</v>
      </c>
      <c r="E141" t="s">
        <v>675</v>
      </c>
      <c r="F141" t="s">
        <v>676</v>
      </c>
      <c r="G141">
        <v>10530</v>
      </c>
      <c r="H141" t="s">
        <v>1046</v>
      </c>
      <c r="I141" t="str">
        <f t="shared" si="4"/>
        <v>2025.09.15</v>
      </c>
      <c r="J141">
        <f t="shared" si="5"/>
        <v>10889.348500517064</v>
      </c>
    </row>
    <row r="142" spans="1:10" x14ac:dyDescent="0.3">
      <c r="A142" s="5" t="s">
        <v>521</v>
      </c>
      <c r="B142" s="5" t="s">
        <v>679</v>
      </c>
      <c r="C142" s="5" t="s">
        <v>680</v>
      </c>
      <c r="D142" s="5"/>
      <c r="E142" s="5" t="s">
        <v>681</v>
      </c>
      <c r="F142" s="5" t="s">
        <v>682</v>
      </c>
      <c r="G142" s="5">
        <v>10530</v>
      </c>
      <c r="H142" s="5" t="s">
        <v>1066</v>
      </c>
      <c r="I142" t="str">
        <f t="shared" si="4"/>
        <v>2025.09.19</v>
      </c>
      <c r="J142">
        <f t="shared" si="5"/>
        <v>10889.348500517064</v>
      </c>
    </row>
    <row r="143" spans="1:10" x14ac:dyDescent="0.3">
      <c r="A143" t="s">
        <v>521</v>
      </c>
      <c r="B143" t="s">
        <v>684</v>
      </c>
      <c r="C143" t="s">
        <v>685</v>
      </c>
      <c r="E143" t="s">
        <v>686</v>
      </c>
      <c r="F143" t="s">
        <v>687</v>
      </c>
      <c r="G143">
        <v>10530</v>
      </c>
      <c r="H143" t="s">
        <v>1072</v>
      </c>
      <c r="I143" t="str">
        <f t="shared" si="4"/>
        <v>2025.09.23</v>
      </c>
      <c r="J143">
        <f t="shared" si="5"/>
        <v>10889.348500517064</v>
      </c>
    </row>
    <row r="144" spans="1:10" x14ac:dyDescent="0.3">
      <c r="A144" t="s">
        <v>1073</v>
      </c>
      <c r="B144" t="s">
        <v>688</v>
      </c>
      <c r="C144" t="s">
        <v>689</v>
      </c>
      <c r="E144" t="s">
        <v>690</v>
      </c>
      <c r="F144" t="s">
        <v>691</v>
      </c>
      <c r="G144">
        <v>21060</v>
      </c>
      <c r="H144" t="s">
        <v>1046</v>
      </c>
      <c r="I144" t="str">
        <f t="shared" si="4"/>
        <v>2025.09.15</v>
      </c>
      <c r="J144">
        <f t="shared" si="5"/>
        <v>21778.697001034128</v>
      </c>
    </row>
    <row r="145" spans="1:10" x14ac:dyDescent="0.3">
      <c r="A145" t="s">
        <v>521</v>
      </c>
      <c r="B145" t="s">
        <v>692</v>
      </c>
      <c r="C145" t="s">
        <v>693</v>
      </c>
      <c r="E145" t="s">
        <v>694</v>
      </c>
      <c r="F145" t="s">
        <v>695</v>
      </c>
      <c r="G145">
        <v>10530</v>
      </c>
      <c r="H145" t="s">
        <v>1072</v>
      </c>
      <c r="I145" t="str">
        <f t="shared" si="4"/>
        <v>2025.09.23</v>
      </c>
      <c r="J145">
        <f t="shared" si="5"/>
        <v>10889.348500517064</v>
      </c>
    </row>
    <row r="146" spans="1:10" x14ac:dyDescent="0.3">
      <c r="A146" t="s">
        <v>521</v>
      </c>
      <c r="B146" t="s">
        <v>697</v>
      </c>
      <c r="C146" t="s">
        <v>698</v>
      </c>
      <c r="E146" t="s">
        <v>699</v>
      </c>
      <c r="F146" t="s">
        <v>700</v>
      </c>
      <c r="G146">
        <v>10530</v>
      </c>
      <c r="H146" t="s">
        <v>1061</v>
      </c>
      <c r="I146" t="str">
        <f t="shared" si="4"/>
        <v>2025.09.18</v>
      </c>
      <c r="J146">
        <f t="shared" si="5"/>
        <v>10889.348500517064</v>
      </c>
    </row>
    <row r="147" spans="1:10" x14ac:dyDescent="0.3">
      <c r="A147" t="s">
        <v>1073</v>
      </c>
      <c r="B147" t="s">
        <v>701</v>
      </c>
      <c r="C147" t="s">
        <v>702</v>
      </c>
      <c r="E147" t="s">
        <v>703</v>
      </c>
      <c r="F147" t="s">
        <v>704</v>
      </c>
      <c r="G147">
        <v>21060</v>
      </c>
      <c r="H147" t="s">
        <v>1051</v>
      </c>
      <c r="I147" t="str">
        <f t="shared" si="4"/>
        <v>2025.09.26</v>
      </c>
      <c r="J147">
        <f t="shared" si="5"/>
        <v>21778.697001034128</v>
      </c>
    </row>
    <row r="148" spans="1:10" x14ac:dyDescent="0.3">
      <c r="A148" t="s">
        <v>521</v>
      </c>
      <c r="B148" t="s">
        <v>705</v>
      </c>
      <c r="C148" t="s">
        <v>706</v>
      </c>
      <c r="E148" t="s">
        <v>707</v>
      </c>
      <c r="F148" t="s">
        <v>708</v>
      </c>
      <c r="G148">
        <v>10530</v>
      </c>
      <c r="H148" t="s">
        <v>1061</v>
      </c>
      <c r="I148" t="str">
        <f t="shared" si="4"/>
        <v>2025.09.18</v>
      </c>
      <c r="J148">
        <f t="shared" si="5"/>
        <v>10889.348500517064</v>
      </c>
    </row>
    <row r="149" spans="1:10" x14ac:dyDescent="0.3">
      <c r="A149" t="s">
        <v>521</v>
      </c>
      <c r="B149" t="s">
        <v>709</v>
      </c>
      <c r="C149" t="s">
        <v>710</v>
      </c>
      <c r="E149" t="s">
        <v>711</v>
      </c>
      <c r="F149" t="s">
        <v>712</v>
      </c>
      <c r="G149">
        <v>10530</v>
      </c>
      <c r="H149" t="s">
        <v>1072</v>
      </c>
      <c r="I149" t="str">
        <f t="shared" si="4"/>
        <v>2025.09.23</v>
      </c>
      <c r="J149">
        <f t="shared" si="5"/>
        <v>10889.348500517064</v>
      </c>
    </row>
    <row r="150" spans="1:10" x14ac:dyDescent="0.3">
      <c r="A150" t="s">
        <v>521</v>
      </c>
      <c r="B150" t="s">
        <v>713</v>
      </c>
      <c r="C150" t="s">
        <v>714</v>
      </c>
      <c r="E150" t="s">
        <v>715</v>
      </c>
      <c r="F150" t="s">
        <v>716</v>
      </c>
      <c r="G150">
        <v>10530</v>
      </c>
      <c r="H150" t="s">
        <v>1051</v>
      </c>
      <c r="I150" t="str">
        <f t="shared" si="4"/>
        <v>2025.09.26</v>
      </c>
      <c r="J150">
        <f t="shared" si="5"/>
        <v>10889.348500517064</v>
      </c>
    </row>
    <row r="151" spans="1:10" x14ac:dyDescent="0.3">
      <c r="A151" t="s">
        <v>521</v>
      </c>
      <c r="B151" t="s">
        <v>717</v>
      </c>
      <c r="C151" t="s">
        <v>718</v>
      </c>
      <c r="E151" t="s">
        <v>719</v>
      </c>
      <c r="F151" t="s">
        <v>720</v>
      </c>
      <c r="G151">
        <v>10530</v>
      </c>
      <c r="H151" t="s">
        <v>1072</v>
      </c>
      <c r="I151" t="str">
        <f t="shared" si="4"/>
        <v>2025.09.23</v>
      </c>
      <c r="J151">
        <f t="shared" si="5"/>
        <v>10889.348500517064</v>
      </c>
    </row>
    <row r="152" spans="1:10" x14ac:dyDescent="0.3">
      <c r="A152" s="5" t="s">
        <v>521</v>
      </c>
      <c r="B152" s="5" t="s">
        <v>721</v>
      </c>
      <c r="C152" s="5" t="s">
        <v>722</v>
      </c>
      <c r="D152" s="5"/>
      <c r="E152" s="5" t="s">
        <v>723</v>
      </c>
      <c r="F152" s="5" t="s">
        <v>724</v>
      </c>
      <c r="G152" s="5">
        <v>10530</v>
      </c>
      <c r="H152" s="5" t="s">
        <v>1049</v>
      </c>
      <c r="I152" t="str">
        <f t="shared" si="4"/>
        <v>2025.09.29</v>
      </c>
      <c r="J152">
        <f t="shared" si="5"/>
        <v>10889.348500517064</v>
      </c>
    </row>
    <row r="153" spans="1:10" x14ac:dyDescent="0.3">
      <c r="A153" t="s">
        <v>1073</v>
      </c>
      <c r="B153" t="s">
        <v>725</v>
      </c>
      <c r="C153" t="s">
        <v>726</v>
      </c>
      <c r="E153" t="s">
        <v>727</v>
      </c>
      <c r="F153" t="s">
        <v>728</v>
      </c>
      <c r="G153">
        <v>21060</v>
      </c>
      <c r="H153" t="s">
        <v>1066</v>
      </c>
      <c r="I153" t="str">
        <f t="shared" si="4"/>
        <v>2025.09.19</v>
      </c>
      <c r="J153">
        <f t="shared" si="5"/>
        <v>21778.697001034128</v>
      </c>
    </row>
    <row r="154" spans="1:10" x14ac:dyDescent="0.3">
      <c r="A154" t="s">
        <v>521</v>
      </c>
      <c r="B154" t="s">
        <v>729</v>
      </c>
      <c r="C154" t="s">
        <v>730</v>
      </c>
      <c r="E154" t="s">
        <v>731</v>
      </c>
      <c r="F154" t="s">
        <v>732</v>
      </c>
      <c r="G154">
        <v>10530</v>
      </c>
      <c r="H154" t="s">
        <v>1061</v>
      </c>
      <c r="I154" t="str">
        <f t="shared" si="4"/>
        <v>2025.09.18</v>
      </c>
      <c r="J154">
        <f t="shared" si="5"/>
        <v>10889.348500517064</v>
      </c>
    </row>
    <row r="155" spans="1:10" x14ac:dyDescent="0.3">
      <c r="A155" t="s">
        <v>521</v>
      </c>
      <c r="B155" t="s">
        <v>733</v>
      </c>
      <c r="C155" t="s">
        <v>734</v>
      </c>
      <c r="E155" t="s">
        <v>735</v>
      </c>
      <c r="F155" t="s">
        <v>736</v>
      </c>
      <c r="G155">
        <v>10530</v>
      </c>
      <c r="H155" t="s">
        <v>1061</v>
      </c>
      <c r="I155" t="str">
        <f t="shared" si="4"/>
        <v>2025.09.18</v>
      </c>
      <c r="J155">
        <f t="shared" si="5"/>
        <v>10889.348500517064</v>
      </c>
    </row>
    <row r="156" spans="1:10" x14ac:dyDescent="0.3">
      <c r="A156" t="s">
        <v>521</v>
      </c>
      <c r="B156" t="s">
        <v>737</v>
      </c>
      <c r="C156" t="s">
        <v>738</v>
      </c>
      <c r="E156" t="s">
        <v>739</v>
      </c>
      <c r="F156" t="s">
        <v>740</v>
      </c>
      <c r="G156">
        <v>10530</v>
      </c>
      <c r="H156" t="s">
        <v>1061</v>
      </c>
      <c r="I156" t="str">
        <f t="shared" si="4"/>
        <v>2025.09.18</v>
      </c>
      <c r="J156">
        <f t="shared" si="5"/>
        <v>10889.348500517064</v>
      </c>
    </row>
    <row r="157" spans="1:10" x14ac:dyDescent="0.3">
      <c r="A157" t="s">
        <v>521</v>
      </c>
      <c r="B157" t="s">
        <v>741</v>
      </c>
      <c r="C157" t="s">
        <v>742</v>
      </c>
      <c r="E157" t="s">
        <v>743</v>
      </c>
      <c r="F157" t="s">
        <v>744</v>
      </c>
      <c r="G157">
        <v>10530</v>
      </c>
      <c r="H157" t="s">
        <v>1066</v>
      </c>
      <c r="I157" t="str">
        <f t="shared" si="4"/>
        <v>2025.09.19</v>
      </c>
      <c r="J157">
        <f t="shared" si="5"/>
        <v>10889.348500517064</v>
      </c>
    </row>
    <row r="158" spans="1:10" x14ac:dyDescent="0.3">
      <c r="A158" t="s">
        <v>521</v>
      </c>
      <c r="B158" t="s">
        <v>745</v>
      </c>
      <c r="C158" t="s">
        <v>746</v>
      </c>
      <c r="E158" t="s">
        <v>747</v>
      </c>
      <c r="F158" t="s">
        <v>748</v>
      </c>
      <c r="G158">
        <v>10530</v>
      </c>
      <c r="H158" t="s">
        <v>1047</v>
      </c>
      <c r="I158" t="str">
        <f t="shared" si="4"/>
        <v>2025.09.22</v>
      </c>
      <c r="J158">
        <f t="shared" si="5"/>
        <v>10889.348500517064</v>
      </c>
    </row>
    <row r="159" spans="1:10" x14ac:dyDescent="0.3">
      <c r="A159" t="s">
        <v>521</v>
      </c>
      <c r="B159" t="s">
        <v>749</v>
      </c>
      <c r="C159" t="s">
        <v>750</v>
      </c>
      <c r="E159" t="s">
        <v>751</v>
      </c>
      <c r="F159" t="s">
        <v>752</v>
      </c>
      <c r="G159">
        <v>10530</v>
      </c>
      <c r="H159" t="s">
        <v>1072</v>
      </c>
      <c r="I159" t="str">
        <f t="shared" si="4"/>
        <v>2025.09.23</v>
      </c>
      <c r="J159">
        <f t="shared" si="5"/>
        <v>10889.348500517064</v>
      </c>
    </row>
    <row r="160" spans="1:10" x14ac:dyDescent="0.3">
      <c r="A160" t="s">
        <v>521</v>
      </c>
      <c r="B160" t="s">
        <v>753</v>
      </c>
      <c r="C160" t="s">
        <v>754</v>
      </c>
      <c r="E160" t="s">
        <v>755</v>
      </c>
      <c r="F160" t="s">
        <v>756</v>
      </c>
      <c r="G160">
        <v>10530</v>
      </c>
      <c r="H160" t="s">
        <v>1066</v>
      </c>
      <c r="I160" t="str">
        <f t="shared" si="4"/>
        <v>2025.09.19</v>
      </c>
      <c r="J160">
        <f t="shared" si="5"/>
        <v>10889.348500517064</v>
      </c>
    </row>
    <row r="161" spans="1:10" x14ac:dyDescent="0.3">
      <c r="A161" t="s">
        <v>521</v>
      </c>
      <c r="B161" t="s">
        <v>757</v>
      </c>
      <c r="C161" t="s">
        <v>758</v>
      </c>
      <c r="E161" t="s">
        <v>759</v>
      </c>
      <c r="F161" t="s">
        <v>760</v>
      </c>
      <c r="G161">
        <v>10530</v>
      </c>
      <c r="H161" t="s">
        <v>1047</v>
      </c>
      <c r="I161" t="str">
        <f t="shared" si="4"/>
        <v>2025.09.22</v>
      </c>
      <c r="J161">
        <f t="shared" si="5"/>
        <v>10889.348500517064</v>
      </c>
    </row>
    <row r="162" spans="1:10" x14ac:dyDescent="0.3">
      <c r="A162" t="s">
        <v>521</v>
      </c>
      <c r="B162" t="s">
        <v>761</v>
      </c>
      <c r="C162" t="s">
        <v>762</v>
      </c>
      <c r="E162" t="s">
        <v>763</v>
      </c>
      <c r="F162" t="s">
        <v>764</v>
      </c>
      <c r="G162">
        <v>10530</v>
      </c>
      <c r="H162" t="s">
        <v>1066</v>
      </c>
      <c r="I162" t="str">
        <f t="shared" si="4"/>
        <v>2025.09.19</v>
      </c>
      <c r="J162">
        <f t="shared" si="5"/>
        <v>10889.348500517064</v>
      </c>
    </row>
    <row r="163" spans="1:10" x14ac:dyDescent="0.3">
      <c r="A163" t="s">
        <v>521</v>
      </c>
      <c r="B163" t="s">
        <v>765</v>
      </c>
      <c r="C163" t="s">
        <v>766</v>
      </c>
      <c r="E163" t="s">
        <v>767</v>
      </c>
      <c r="F163" t="s">
        <v>768</v>
      </c>
      <c r="G163">
        <v>10530</v>
      </c>
      <c r="H163" t="s">
        <v>1051</v>
      </c>
      <c r="I163" t="str">
        <f t="shared" si="4"/>
        <v>2025.09.26</v>
      </c>
      <c r="J163">
        <f t="shared" si="5"/>
        <v>10889.348500517064</v>
      </c>
    </row>
    <row r="164" spans="1:10" x14ac:dyDescent="0.3">
      <c r="A164" t="s">
        <v>521</v>
      </c>
      <c r="B164" t="s">
        <v>769</v>
      </c>
      <c r="C164" t="s">
        <v>770</v>
      </c>
      <c r="E164" t="s">
        <v>771</v>
      </c>
      <c r="F164" t="s">
        <v>772</v>
      </c>
      <c r="G164">
        <v>10530</v>
      </c>
      <c r="H164" t="s">
        <v>1049</v>
      </c>
      <c r="I164" t="str">
        <f t="shared" si="4"/>
        <v>2025.09.29</v>
      </c>
      <c r="J164">
        <f t="shared" si="5"/>
        <v>10889.348500517064</v>
      </c>
    </row>
    <row r="165" spans="1:10" x14ac:dyDescent="0.3">
      <c r="A165" t="s">
        <v>521</v>
      </c>
      <c r="B165" t="s">
        <v>773</v>
      </c>
      <c r="C165" t="s">
        <v>774</v>
      </c>
      <c r="E165" t="s">
        <v>775</v>
      </c>
      <c r="F165" t="s">
        <v>776</v>
      </c>
      <c r="G165">
        <v>10530</v>
      </c>
      <c r="H165" t="s">
        <v>1049</v>
      </c>
      <c r="I165" t="str">
        <f t="shared" si="4"/>
        <v>2025.09.29</v>
      </c>
      <c r="J165">
        <f t="shared" si="5"/>
        <v>10889.348500517064</v>
      </c>
    </row>
    <row r="166" spans="1:10" x14ac:dyDescent="0.3">
      <c r="A166" t="s">
        <v>1076</v>
      </c>
      <c r="B166" t="s">
        <v>39</v>
      </c>
      <c r="C166" t="s">
        <v>777</v>
      </c>
      <c r="E166" t="s">
        <v>778</v>
      </c>
      <c r="F166" t="s">
        <v>779</v>
      </c>
      <c r="G166">
        <v>51060</v>
      </c>
      <c r="H166" t="s">
        <v>1049</v>
      </c>
      <c r="I166" t="str">
        <f t="shared" si="4"/>
        <v>2025.09.29</v>
      </c>
      <c r="J166">
        <f t="shared" si="5"/>
        <v>52802.48190279214</v>
      </c>
    </row>
    <row r="167" spans="1:10" x14ac:dyDescent="0.3">
      <c r="A167" t="s">
        <v>780</v>
      </c>
      <c r="B167" t="s">
        <v>781</v>
      </c>
      <c r="C167" t="s">
        <v>782</v>
      </c>
      <c r="D167" t="s">
        <v>783</v>
      </c>
      <c r="E167" t="s">
        <v>784</v>
      </c>
      <c r="F167" t="s">
        <v>785</v>
      </c>
      <c r="G167">
        <v>11700</v>
      </c>
      <c r="H167" t="s">
        <v>1070</v>
      </c>
      <c r="I167" t="str">
        <f t="shared" si="4"/>
        <v>2025.09.02</v>
      </c>
      <c r="J167">
        <f t="shared" si="5"/>
        <v>12099.276111685625</v>
      </c>
    </row>
    <row r="168" spans="1:10" x14ac:dyDescent="0.3">
      <c r="A168" t="s">
        <v>780</v>
      </c>
      <c r="B168" t="s">
        <v>786</v>
      </c>
      <c r="C168" t="s">
        <v>787</v>
      </c>
      <c r="D168" t="s">
        <v>788</v>
      </c>
      <c r="E168" t="s">
        <v>789</v>
      </c>
      <c r="F168" t="s">
        <v>790</v>
      </c>
      <c r="G168">
        <v>11700</v>
      </c>
      <c r="H168" t="s">
        <v>1046</v>
      </c>
      <c r="I168" t="str">
        <f t="shared" si="4"/>
        <v>2025.09.15</v>
      </c>
      <c r="J168">
        <f t="shared" si="5"/>
        <v>12099.276111685625</v>
      </c>
    </row>
    <row r="169" spans="1:10" x14ac:dyDescent="0.3">
      <c r="A169" t="s">
        <v>780</v>
      </c>
      <c r="B169" t="s">
        <v>791</v>
      </c>
      <c r="C169" t="s">
        <v>792</v>
      </c>
      <c r="D169" t="s">
        <v>793</v>
      </c>
      <c r="E169" t="s">
        <v>794</v>
      </c>
      <c r="F169" t="s">
        <v>795</v>
      </c>
      <c r="G169">
        <v>11700</v>
      </c>
      <c r="H169" t="s">
        <v>1045</v>
      </c>
      <c r="I169" t="str">
        <f t="shared" si="4"/>
        <v>2025.09.06</v>
      </c>
      <c r="J169">
        <f t="shared" si="5"/>
        <v>12099.276111685625</v>
      </c>
    </row>
    <row r="170" spans="1:10" x14ac:dyDescent="0.3">
      <c r="A170" t="s">
        <v>780</v>
      </c>
      <c r="B170" t="s">
        <v>798</v>
      </c>
      <c r="C170" t="s">
        <v>799</v>
      </c>
      <c r="D170" t="s">
        <v>800</v>
      </c>
      <c r="E170" t="s">
        <v>801</v>
      </c>
      <c r="F170" t="s">
        <v>802</v>
      </c>
      <c r="G170">
        <v>9800</v>
      </c>
      <c r="H170" t="s">
        <v>1046</v>
      </c>
      <c r="I170" t="str">
        <f t="shared" si="4"/>
        <v>2025.09.15</v>
      </c>
      <c r="J170">
        <f t="shared" si="5"/>
        <v>10134.436401240951</v>
      </c>
    </row>
    <row r="171" spans="1:10" x14ac:dyDescent="0.3">
      <c r="A171" t="s">
        <v>780</v>
      </c>
      <c r="B171" t="s">
        <v>804</v>
      </c>
      <c r="C171" t="s">
        <v>805</v>
      </c>
      <c r="D171" t="s">
        <v>806</v>
      </c>
      <c r="E171" t="s">
        <v>807</v>
      </c>
      <c r="F171" t="s">
        <v>808</v>
      </c>
      <c r="G171">
        <v>9800</v>
      </c>
      <c r="H171" t="s">
        <v>1070</v>
      </c>
      <c r="I171" t="str">
        <f t="shared" si="4"/>
        <v>2025.09.02</v>
      </c>
      <c r="J171">
        <f t="shared" si="5"/>
        <v>10134.436401240951</v>
      </c>
    </row>
    <row r="172" spans="1:10" x14ac:dyDescent="0.3">
      <c r="A172" t="s">
        <v>780</v>
      </c>
      <c r="B172" t="s">
        <v>809</v>
      </c>
      <c r="C172" t="s">
        <v>810</v>
      </c>
      <c r="D172" t="s">
        <v>811</v>
      </c>
      <c r="E172" t="s">
        <v>812</v>
      </c>
      <c r="F172" t="s">
        <v>813</v>
      </c>
      <c r="G172">
        <v>10000</v>
      </c>
      <c r="H172" t="s">
        <v>1070</v>
      </c>
      <c r="I172" t="str">
        <f t="shared" si="4"/>
        <v>2025.09.02</v>
      </c>
      <c r="J172">
        <f t="shared" si="5"/>
        <v>10341.261633919339</v>
      </c>
    </row>
    <row r="173" spans="1:10" x14ac:dyDescent="0.3">
      <c r="A173" t="s">
        <v>780</v>
      </c>
      <c r="B173" t="s">
        <v>814</v>
      </c>
      <c r="C173" t="s">
        <v>815</v>
      </c>
      <c r="D173" t="s">
        <v>816</v>
      </c>
      <c r="E173" t="s">
        <v>817</v>
      </c>
      <c r="F173" t="s">
        <v>818</v>
      </c>
      <c r="G173">
        <v>10000</v>
      </c>
      <c r="H173" t="s">
        <v>1070</v>
      </c>
      <c r="I173" t="str">
        <f t="shared" si="4"/>
        <v>2025.09.02</v>
      </c>
      <c r="J173">
        <f t="shared" si="5"/>
        <v>10341.261633919339</v>
      </c>
    </row>
    <row r="174" spans="1:10" x14ac:dyDescent="0.3">
      <c r="A174" t="s">
        <v>780</v>
      </c>
      <c r="B174" t="s">
        <v>819</v>
      </c>
      <c r="C174" t="s">
        <v>820</v>
      </c>
      <c r="D174" t="s">
        <v>821</v>
      </c>
      <c r="E174" t="s">
        <v>822</v>
      </c>
      <c r="F174" t="s">
        <v>823</v>
      </c>
      <c r="G174">
        <v>10000</v>
      </c>
      <c r="H174" t="s">
        <v>1070</v>
      </c>
      <c r="I174" t="str">
        <f t="shared" si="4"/>
        <v>2025.09.02</v>
      </c>
      <c r="J174">
        <f t="shared" si="5"/>
        <v>10341.261633919339</v>
      </c>
    </row>
    <row r="175" spans="1:10" x14ac:dyDescent="0.3">
      <c r="A175" t="s">
        <v>780</v>
      </c>
      <c r="B175" t="s">
        <v>824</v>
      </c>
      <c r="C175" t="s">
        <v>825</v>
      </c>
      <c r="D175" t="s">
        <v>826</v>
      </c>
      <c r="E175" t="s">
        <v>827</v>
      </c>
      <c r="F175" t="s">
        <v>828</v>
      </c>
      <c r="G175">
        <v>11700</v>
      </c>
      <c r="H175" t="s">
        <v>1063</v>
      </c>
      <c r="I175" t="str">
        <f t="shared" si="4"/>
        <v>2025.09.09</v>
      </c>
      <c r="J175">
        <f t="shared" si="5"/>
        <v>12099.276111685625</v>
      </c>
    </row>
    <row r="176" spans="1:10" x14ac:dyDescent="0.3">
      <c r="A176" t="s">
        <v>780</v>
      </c>
      <c r="B176" t="s">
        <v>829</v>
      </c>
      <c r="C176" t="s">
        <v>830</v>
      </c>
      <c r="D176" t="s">
        <v>831</v>
      </c>
      <c r="E176" t="s">
        <v>832</v>
      </c>
      <c r="F176" t="s">
        <v>833</v>
      </c>
      <c r="G176">
        <v>10000</v>
      </c>
      <c r="H176" t="s">
        <v>1047</v>
      </c>
      <c r="I176" t="str">
        <f t="shared" si="4"/>
        <v>2025.09.22</v>
      </c>
      <c r="J176">
        <f t="shared" si="5"/>
        <v>10341.261633919339</v>
      </c>
    </row>
    <row r="177" spans="1:10" x14ac:dyDescent="0.3">
      <c r="A177" t="s">
        <v>780</v>
      </c>
      <c r="B177" t="s">
        <v>835</v>
      </c>
      <c r="C177" t="s">
        <v>836</v>
      </c>
      <c r="D177" t="s">
        <v>837</v>
      </c>
      <c r="E177" t="s">
        <v>838</v>
      </c>
      <c r="F177" t="s">
        <v>839</v>
      </c>
      <c r="G177">
        <v>11420</v>
      </c>
      <c r="H177" t="s">
        <v>1066</v>
      </c>
      <c r="I177" t="str">
        <f t="shared" si="4"/>
        <v>2025.09.19</v>
      </c>
      <c r="J177">
        <f t="shared" si="5"/>
        <v>11809.720785935884</v>
      </c>
    </row>
    <row r="178" spans="1:10" x14ac:dyDescent="0.3">
      <c r="A178" t="s">
        <v>780</v>
      </c>
      <c r="B178" t="s">
        <v>841</v>
      </c>
      <c r="C178" t="s">
        <v>842</v>
      </c>
      <c r="D178" t="s">
        <v>843</v>
      </c>
      <c r="E178" t="s">
        <v>844</v>
      </c>
      <c r="F178" t="s">
        <v>845</v>
      </c>
      <c r="G178">
        <v>10530</v>
      </c>
      <c r="H178" t="s">
        <v>1063</v>
      </c>
      <c r="I178" t="str">
        <f t="shared" si="4"/>
        <v>2025.09.09</v>
      </c>
      <c r="J178">
        <f t="shared" si="5"/>
        <v>10889.348500517064</v>
      </c>
    </row>
    <row r="179" spans="1:10" x14ac:dyDescent="0.3">
      <c r="A179" t="s">
        <v>780</v>
      </c>
      <c r="B179" t="s">
        <v>850</v>
      </c>
      <c r="C179" t="s">
        <v>851</v>
      </c>
      <c r="D179" t="s">
        <v>852</v>
      </c>
      <c r="E179" t="s">
        <v>853</v>
      </c>
      <c r="F179" t="s">
        <v>854</v>
      </c>
      <c r="G179">
        <v>10530</v>
      </c>
      <c r="H179" t="s">
        <v>1051</v>
      </c>
      <c r="I179" t="str">
        <f t="shared" si="4"/>
        <v>2025.09.26</v>
      </c>
      <c r="J179">
        <f t="shared" si="5"/>
        <v>10889.348500517064</v>
      </c>
    </row>
    <row r="180" spans="1:10" x14ac:dyDescent="0.3">
      <c r="A180" t="s">
        <v>780</v>
      </c>
      <c r="B180" t="s">
        <v>856</v>
      </c>
      <c r="C180" t="s">
        <v>857</v>
      </c>
      <c r="D180" t="s">
        <v>858</v>
      </c>
      <c r="E180" t="s">
        <v>731</v>
      </c>
      <c r="F180" t="s">
        <v>732</v>
      </c>
      <c r="G180">
        <v>10530</v>
      </c>
      <c r="H180" t="s">
        <v>1046</v>
      </c>
      <c r="I180" t="str">
        <f t="shared" si="4"/>
        <v>2025.09.15</v>
      </c>
      <c r="J180">
        <f t="shared" si="5"/>
        <v>10889.348500517064</v>
      </c>
    </row>
    <row r="181" spans="1:10" x14ac:dyDescent="0.3">
      <c r="A181" t="s">
        <v>780</v>
      </c>
      <c r="B181" t="s">
        <v>859</v>
      </c>
      <c r="C181" t="s">
        <v>860</v>
      </c>
      <c r="D181" t="s">
        <v>861</v>
      </c>
      <c r="E181" t="s">
        <v>862</v>
      </c>
      <c r="F181" t="s">
        <v>863</v>
      </c>
      <c r="G181">
        <v>10530</v>
      </c>
      <c r="H181" t="s">
        <v>1044</v>
      </c>
      <c r="I181" t="str">
        <f t="shared" si="4"/>
        <v>2025.09.12</v>
      </c>
      <c r="J181">
        <f t="shared" si="5"/>
        <v>10889.348500517064</v>
      </c>
    </row>
    <row r="182" spans="1:10" x14ac:dyDescent="0.3">
      <c r="A182" t="s">
        <v>780</v>
      </c>
      <c r="B182" t="s">
        <v>864</v>
      </c>
      <c r="C182" t="s">
        <v>865</v>
      </c>
      <c r="D182" t="s">
        <v>866</v>
      </c>
      <c r="E182" t="s">
        <v>867</v>
      </c>
      <c r="F182" t="s">
        <v>868</v>
      </c>
      <c r="G182">
        <v>10530</v>
      </c>
      <c r="H182" t="s">
        <v>1047</v>
      </c>
      <c r="I182" t="str">
        <f t="shared" si="4"/>
        <v>2025.09.22</v>
      </c>
      <c r="J182">
        <f t="shared" si="5"/>
        <v>10889.348500517064</v>
      </c>
    </row>
    <row r="183" spans="1:10" x14ac:dyDescent="0.3">
      <c r="A183" t="s">
        <v>780</v>
      </c>
      <c r="B183" t="s">
        <v>869</v>
      </c>
      <c r="C183" t="s">
        <v>870</v>
      </c>
      <c r="D183" t="s">
        <v>871</v>
      </c>
      <c r="E183" t="s">
        <v>872</v>
      </c>
      <c r="F183" t="s">
        <v>873</v>
      </c>
      <c r="G183">
        <v>10530</v>
      </c>
      <c r="H183" t="s">
        <v>1044</v>
      </c>
      <c r="I183" t="str">
        <f t="shared" si="4"/>
        <v>2025.09.12</v>
      </c>
      <c r="J183">
        <f t="shared" si="5"/>
        <v>10889.348500517064</v>
      </c>
    </row>
    <row r="184" spans="1:10" x14ac:dyDescent="0.3">
      <c r="A184" t="s">
        <v>780</v>
      </c>
      <c r="B184" t="s">
        <v>874</v>
      </c>
      <c r="C184" t="s">
        <v>875</v>
      </c>
      <c r="E184" t="s">
        <v>876</v>
      </c>
      <c r="F184" t="s">
        <v>877</v>
      </c>
      <c r="G184">
        <v>10530</v>
      </c>
      <c r="H184" t="s">
        <v>1044</v>
      </c>
      <c r="I184" t="str">
        <f t="shared" si="4"/>
        <v>2025.09.12</v>
      </c>
      <c r="J184">
        <f t="shared" si="5"/>
        <v>10889.348500517064</v>
      </c>
    </row>
    <row r="185" spans="1:10" x14ac:dyDescent="0.3">
      <c r="A185" t="s">
        <v>780</v>
      </c>
      <c r="B185" t="s">
        <v>879</v>
      </c>
      <c r="C185" t="s">
        <v>880</v>
      </c>
      <c r="E185" t="s">
        <v>881</v>
      </c>
      <c r="F185" t="s">
        <v>882</v>
      </c>
      <c r="G185">
        <v>10000</v>
      </c>
      <c r="H185" t="s">
        <v>1044</v>
      </c>
      <c r="I185" t="str">
        <f t="shared" si="4"/>
        <v>2025.09.12</v>
      </c>
      <c r="J185">
        <f t="shared" si="5"/>
        <v>10341.261633919339</v>
      </c>
    </row>
    <row r="186" spans="1:10" x14ac:dyDescent="0.3">
      <c r="A186" t="s">
        <v>780</v>
      </c>
      <c r="B186" t="s">
        <v>884</v>
      </c>
      <c r="C186" t="s">
        <v>885</v>
      </c>
      <c r="E186" t="s">
        <v>886</v>
      </c>
      <c r="F186" t="s">
        <v>887</v>
      </c>
      <c r="G186">
        <v>10530</v>
      </c>
      <c r="H186" t="s">
        <v>1061</v>
      </c>
      <c r="I186" t="str">
        <f t="shared" si="4"/>
        <v>2025.09.18</v>
      </c>
      <c r="J186">
        <f t="shared" si="5"/>
        <v>10889.348500517064</v>
      </c>
    </row>
    <row r="187" spans="1:10" x14ac:dyDescent="0.3">
      <c r="A187" t="s">
        <v>1077</v>
      </c>
      <c r="B187" t="s">
        <v>888</v>
      </c>
      <c r="C187" t="s">
        <v>889</v>
      </c>
      <c r="E187" t="s">
        <v>890</v>
      </c>
      <c r="F187" t="s">
        <v>891</v>
      </c>
      <c r="G187">
        <v>21060</v>
      </c>
      <c r="H187" t="s">
        <v>1072</v>
      </c>
      <c r="I187" t="str">
        <f t="shared" si="4"/>
        <v>2025.09.23</v>
      </c>
      <c r="J187">
        <f t="shared" si="5"/>
        <v>21778.697001034128</v>
      </c>
    </row>
    <row r="188" spans="1:10" x14ac:dyDescent="0.3">
      <c r="A188" t="s">
        <v>780</v>
      </c>
      <c r="B188" t="s">
        <v>892</v>
      </c>
      <c r="C188" t="s">
        <v>893</v>
      </c>
      <c r="E188" t="s">
        <v>894</v>
      </c>
      <c r="F188" t="s">
        <v>895</v>
      </c>
      <c r="G188">
        <v>10530</v>
      </c>
      <c r="H188" t="s">
        <v>1066</v>
      </c>
      <c r="I188" t="str">
        <f t="shared" si="4"/>
        <v>2025.09.19</v>
      </c>
      <c r="J188">
        <f t="shared" si="5"/>
        <v>10889.348500517064</v>
      </c>
    </row>
    <row r="189" spans="1:10" x14ac:dyDescent="0.3">
      <c r="A189" t="s">
        <v>780</v>
      </c>
      <c r="B189" t="s">
        <v>897</v>
      </c>
      <c r="C189" t="s">
        <v>898</v>
      </c>
      <c r="E189" t="s">
        <v>899</v>
      </c>
      <c r="F189" t="s">
        <v>900</v>
      </c>
      <c r="G189">
        <v>10530</v>
      </c>
      <c r="H189" t="s">
        <v>1072</v>
      </c>
      <c r="I189" t="str">
        <f t="shared" si="4"/>
        <v>2025.09.23</v>
      </c>
      <c r="J189">
        <f t="shared" si="5"/>
        <v>10889.348500517064</v>
      </c>
    </row>
    <row r="190" spans="1:10" x14ac:dyDescent="0.3">
      <c r="A190" t="s">
        <v>780</v>
      </c>
      <c r="B190" t="s">
        <v>901</v>
      </c>
      <c r="C190" t="s">
        <v>902</v>
      </c>
      <c r="E190" t="s">
        <v>903</v>
      </c>
      <c r="F190" t="s">
        <v>904</v>
      </c>
      <c r="G190">
        <v>10530</v>
      </c>
      <c r="H190" t="s">
        <v>1061</v>
      </c>
      <c r="I190" t="str">
        <f t="shared" si="4"/>
        <v>2025.09.18</v>
      </c>
      <c r="J190">
        <f t="shared" si="5"/>
        <v>10889.348500517064</v>
      </c>
    </row>
    <row r="191" spans="1:10" x14ac:dyDescent="0.3">
      <c r="A191" t="s">
        <v>780</v>
      </c>
      <c r="B191" t="s">
        <v>907</v>
      </c>
      <c r="C191" t="s">
        <v>908</v>
      </c>
      <c r="E191" t="s">
        <v>909</v>
      </c>
      <c r="F191" t="s">
        <v>910</v>
      </c>
      <c r="G191">
        <v>10530</v>
      </c>
      <c r="H191" t="s">
        <v>1061</v>
      </c>
      <c r="I191" t="str">
        <f t="shared" si="4"/>
        <v>2025.09.18</v>
      </c>
      <c r="J191">
        <f t="shared" si="5"/>
        <v>10889.348500517064</v>
      </c>
    </row>
    <row r="192" spans="1:10" x14ac:dyDescent="0.3">
      <c r="A192" t="s">
        <v>780</v>
      </c>
      <c r="B192" t="s">
        <v>236</v>
      </c>
      <c r="C192" t="s">
        <v>911</v>
      </c>
      <c r="E192" t="s">
        <v>912</v>
      </c>
      <c r="F192" t="s">
        <v>913</v>
      </c>
      <c r="G192">
        <v>10530</v>
      </c>
      <c r="H192" t="s">
        <v>1066</v>
      </c>
      <c r="I192" t="str">
        <f t="shared" si="4"/>
        <v>2025.09.19</v>
      </c>
      <c r="J192">
        <f t="shared" si="5"/>
        <v>10889.348500517064</v>
      </c>
    </row>
    <row r="193" spans="1:10" x14ac:dyDescent="0.3">
      <c r="A193" t="s">
        <v>780</v>
      </c>
      <c r="B193" t="s">
        <v>914</v>
      </c>
      <c r="C193" t="s">
        <v>706</v>
      </c>
      <c r="E193" t="s">
        <v>915</v>
      </c>
      <c r="F193" t="s">
        <v>916</v>
      </c>
      <c r="G193">
        <v>10530</v>
      </c>
      <c r="H193" t="s">
        <v>1047</v>
      </c>
      <c r="I193" t="str">
        <f t="shared" si="4"/>
        <v>2025.09.22</v>
      </c>
      <c r="J193">
        <f t="shared" si="5"/>
        <v>10889.348500517064</v>
      </c>
    </row>
    <row r="194" spans="1:10" x14ac:dyDescent="0.3">
      <c r="A194" t="s">
        <v>780</v>
      </c>
      <c r="B194" t="s">
        <v>918</v>
      </c>
      <c r="C194" t="s">
        <v>919</v>
      </c>
      <c r="E194" t="s">
        <v>920</v>
      </c>
      <c r="F194" t="s">
        <v>921</v>
      </c>
      <c r="G194">
        <v>10530</v>
      </c>
      <c r="H194" t="s">
        <v>1066</v>
      </c>
      <c r="I194" t="str">
        <f t="shared" si="4"/>
        <v>2025.09.19</v>
      </c>
      <c r="J194">
        <f t="shared" si="5"/>
        <v>10889.348500517064</v>
      </c>
    </row>
    <row r="195" spans="1:10" x14ac:dyDescent="0.3">
      <c r="A195" t="s">
        <v>780</v>
      </c>
      <c r="B195" t="s">
        <v>922</v>
      </c>
      <c r="C195" t="s">
        <v>923</v>
      </c>
      <c r="E195" t="s">
        <v>924</v>
      </c>
      <c r="F195" t="s">
        <v>925</v>
      </c>
      <c r="G195">
        <v>10530</v>
      </c>
      <c r="H195" t="s">
        <v>1047</v>
      </c>
      <c r="I195" t="str">
        <f t="shared" ref="I195:I221" si="6">TEXT(DATE(2000+LEFT(H195,2), MID(H195,3,2), RIGHT(H195,2)), "yyyy.mm.dd")</f>
        <v>2025.09.22</v>
      </c>
      <c r="J195">
        <f t="shared" ref="J195:J221" si="7">G195/0.967</f>
        <v>10889.348500517064</v>
      </c>
    </row>
    <row r="196" spans="1:10" x14ac:dyDescent="0.3">
      <c r="A196" t="s">
        <v>780</v>
      </c>
      <c r="B196" t="s">
        <v>926</v>
      </c>
      <c r="C196" t="s">
        <v>927</v>
      </c>
      <c r="E196" t="s">
        <v>928</v>
      </c>
      <c r="F196" t="s">
        <v>929</v>
      </c>
      <c r="G196">
        <v>10530</v>
      </c>
      <c r="H196" t="s">
        <v>1048</v>
      </c>
      <c r="I196" t="str">
        <f t="shared" si="6"/>
        <v>2025.09.24</v>
      </c>
      <c r="J196">
        <f t="shared" si="7"/>
        <v>10889.348500517064</v>
      </c>
    </row>
    <row r="197" spans="1:10" x14ac:dyDescent="0.3">
      <c r="A197" t="s">
        <v>780</v>
      </c>
      <c r="B197" t="s">
        <v>930</v>
      </c>
      <c r="C197" t="s">
        <v>931</v>
      </c>
      <c r="E197" t="s">
        <v>932</v>
      </c>
      <c r="F197" t="s">
        <v>933</v>
      </c>
      <c r="G197">
        <v>10530</v>
      </c>
      <c r="H197" t="s">
        <v>1051</v>
      </c>
      <c r="I197" t="str">
        <f t="shared" si="6"/>
        <v>2025.09.26</v>
      </c>
      <c r="J197">
        <f t="shared" si="7"/>
        <v>10889.348500517064</v>
      </c>
    </row>
    <row r="198" spans="1:10" x14ac:dyDescent="0.3">
      <c r="A198" t="s">
        <v>780</v>
      </c>
      <c r="B198" t="s">
        <v>934</v>
      </c>
      <c r="C198" t="s">
        <v>935</v>
      </c>
      <c r="E198" t="s">
        <v>936</v>
      </c>
      <c r="F198" t="s">
        <v>937</v>
      </c>
      <c r="G198">
        <v>10530</v>
      </c>
      <c r="H198" t="s">
        <v>1051</v>
      </c>
      <c r="I198" t="str">
        <f t="shared" si="6"/>
        <v>2025.09.26</v>
      </c>
      <c r="J198">
        <f t="shared" si="7"/>
        <v>10889.348500517064</v>
      </c>
    </row>
    <row r="199" spans="1:10" x14ac:dyDescent="0.3">
      <c r="A199" t="s">
        <v>780</v>
      </c>
      <c r="B199" t="s">
        <v>938</v>
      </c>
      <c r="C199" t="s">
        <v>939</v>
      </c>
      <c r="E199" t="s">
        <v>940</v>
      </c>
      <c r="F199" t="s">
        <v>941</v>
      </c>
      <c r="G199">
        <v>10530</v>
      </c>
      <c r="H199" t="s">
        <v>1048</v>
      </c>
      <c r="I199" t="str">
        <f t="shared" si="6"/>
        <v>2025.09.24</v>
      </c>
      <c r="J199">
        <f t="shared" si="7"/>
        <v>10889.348500517064</v>
      </c>
    </row>
    <row r="200" spans="1:10" x14ac:dyDescent="0.3">
      <c r="A200" t="s">
        <v>780</v>
      </c>
      <c r="B200" t="s">
        <v>942</v>
      </c>
      <c r="C200" t="s">
        <v>943</v>
      </c>
      <c r="E200" t="s">
        <v>944</v>
      </c>
      <c r="F200" t="s">
        <v>945</v>
      </c>
      <c r="G200">
        <v>10530</v>
      </c>
      <c r="H200" t="s">
        <v>1066</v>
      </c>
      <c r="I200" t="str">
        <f t="shared" si="6"/>
        <v>2025.09.19</v>
      </c>
      <c r="J200">
        <f t="shared" si="7"/>
        <v>10889.348500517064</v>
      </c>
    </row>
    <row r="201" spans="1:10" x14ac:dyDescent="0.3">
      <c r="A201" t="s">
        <v>780</v>
      </c>
      <c r="B201" t="s">
        <v>946</v>
      </c>
      <c r="C201" t="s">
        <v>947</v>
      </c>
      <c r="E201" t="s">
        <v>948</v>
      </c>
      <c r="F201" t="s">
        <v>949</v>
      </c>
      <c r="G201">
        <v>10530</v>
      </c>
      <c r="H201" t="s">
        <v>1066</v>
      </c>
      <c r="I201" t="str">
        <f t="shared" si="6"/>
        <v>2025.09.19</v>
      </c>
      <c r="J201">
        <f t="shared" si="7"/>
        <v>10889.348500517064</v>
      </c>
    </row>
    <row r="202" spans="1:10" x14ac:dyDescent="0.3">
      <c r="A202" t="s">
        <v>780</v>
      </c>
      <c r="B202" t="s">
        <v>950</v>
      </c>
      <c r="C202" t="s">
        <v>951</v>
      </c>
      <c r="E202" t="s">
        <v>952</v>
      </c>
      <c r="F202" t="s">
        <v>953</v>
      </c>
      <c r="G202">
        <v>10530</v>
      </c>
      <c r="H202" t="s">
        <v>1051</v>
      </c>
      <c r="I202" t="str">
        <f t="shared" si="6"/>
        <v>2025.09.26</v>
      </c>
      <c r="J202">
        <f t="shared" si="7"/>
        <v>10889.348500517064</v>
      </c>
    </row>
    <row r="203" spans="1:10" x14ac:dyDescent="0.3">
      <c r="A203" t="s">
        <v>780</v>
      </c>
      <c r="B203" t="s">
        <v>954</v>
      </c>
      <c r="C203" t="s">
        <v>955</v>
      </c>
      <c r="E203" t="s">
        <v>956</v>
      </c>
      <c r="F203" t="s">
        <v>957</v>
      </c>
      <c r="G203">
        <v>10530</v>
      </c>
      <c r="H203" t="s">
        <v>1048</v>
      </c>
      <c r="I203" t="str">
        <f t="shared" si="6"/>
        <v>2025.09.24</v>
      </c>
      <c r="J203">
        <f t="shared" si="7"/>
        <v>10889.348500517064</v>
      </c>
    </row>
    <row r="204" spans="1:10" x14ac:dyDescent="0.3">
      <c r="A204" t="s">
        <v>780</v>
      </c>
      <c r="B204" t="s">
        <v>958</v>
      </c>
      <c r="C204" t="s">
        <v>959</v>
      </c>
      <c r="E204" t="s">
        <v>960</v>
      </c>
      <c r="F204" t="s">
        <v>961</v>
      </c>
      <c r="G204">
        <v>10530</v>
      </c>
      <c r="H204" t="s">
        <v>1066</v>
      </c>
      <c r="I204" t="str">
        <f t="shared" si="6"/>
        <v>2025.09.19</v>
      </c>
      <c r="J204">
        <f t="shared" si="7"/>
        <v>10889.348500517064</v>
      </c>
    </row>
    <row r="205" spans="1:10" x14ac:dyDescent="0.3">
      <c r="A205" t="s">
        <v>780</v>
      </c>
      <c r="B205" t="s">
        <v>962</v>
      </c>
      <c r="C205" t="s">
        <v>963</v>
      </c>
      <c r="E205" t="s">
        <v>964</v>
      </c>
      <c r="F205" t="s">
        <v>965</v>
      </c>
      <c r="G205">
        <v>10530</v>
      </c>
      <c r="H205" t="s">
        <v>1048</v>
      </c>
      <c r="I205" t="str">
        <f t="shared" si="6"/>
        <v>2025.09.24</v>
      </c>
      <c r="J205">
        <f t="shared" si="7"/>
        <v>10889.348500517064</v>
      </c>
    </row>
    <row r="206" spans="1:10" x14ac:dyDescent="0.3">
      <c r="A206" t="s">
        <v>780</v>
      </c>
      <c r="B206" t="s">
        <v>966</v>
      </c>
      <c r="C206" t="s">
        <v>967</v>
      </c>
      <c r="E206" t="s">
        <v>968</v>
      </c>
      <c r="F206" t="s">
        <v>969</v>
      </c>
      <c r="G206">
        <v>10530</v>
      </c>
      <c r="H206" t="s">
        <v>1047</v>
      </c>
      <c r="I206" t="str">
        <f t="shared" si="6"/>
        <v>2025.09.22</v>
      </c>
      <c r="J206">
        <f t="shared" si="7"/>
        <v>10889.348500517064</v>
      </c>
    </row>
    <row r="207" spans="1:10" x14ac:dyDescent="0.3">
      <c r="A207" t="s">
        <v>780</v>
      </c>
      <c r="B207" t="s">
        <v>970</v>
      </c>
      <c r="C207" t="s">
        <v>971</v>
      </c>
      <c r="E207" t="s">
        <v>972</v>
      </c>
      <c r="F207" t="s">
        <v>973</v>
      </c>
      <c r="G207">
        <v>10530</v>
      </c>
      <c r="H207" t="s">
        <v>1047</v>
      </c>
      <c r="I207" t="str">
        <f t="shared" si="6"/>
        <v>2025.09.22</v>
      </c>
      <c r="J207">
        <f t="shared" si="7"/>
        <v>10889.348500517064</v>
      </c>
    </row>
    <row r="208" spans="1:10" x14ac:dyDescent="0.3">
      <c r="A208" t="s">
        <v>780</v>
      </c>
      <c r="B208" t="s">
        <v>974</v>
      </c>
      <c r="C208" t="s">
        <v>975</v>
      </c>
      <c r="E208" t="s">
        <v>976</v>
      </c>
      <c r="F208" t="s">
        <v>977</v>
      </c>
      <c r="G208">
        <v>10530</v>
      </c>
      <c r="H208" t="s">
        <v>1049</v>
      </c>
      <c r="I208" t="str">
        <f t="shared" si="6"/>
        <v>2025.09.29</v>
      </c>
      <c r="J208">
        <f t="shared" si="7"/>
        <v>10889.348500517064</v>
      </c>
    </row>
    <row r="209" spans="1:10" x14ac:dyDescent="0.3">
      <c r="A209" t="s">
        <v>780</v>
      </c>
      <c r="B209" t="s">
        <v>978</v>
      </c>
      <c r="C209" t="s">
        <v>979</v>
      </c>
      <c r="E209" t="s">
        <v>980</v>
      </c>
      <c r="F209" t="s">
        <v>981</v>
      </c>
      <c r="G209">
        <v>10530</v>
      </c>
      <c r="H209" t="s">
        <v>1072</v>
      </c>
      <c r="I209" t="str">
        <f t="shared" si="6"/>
        <v>2025.09.23</v>
      </c>
      <c r="J209">
        <f t="shared" si="7"/>
        <v>10889.348500517064</v>
      </c>
    </row>
    <row r="210" spans="1:10" x14ac:dyDescent="0.3">
      <c r="A210" t="s">
        <v>780</v>
      </c>
      <c r="B210" t="s">
        <v>982</v>
      </c>
      <c r="C210" t="s">
        <v>983</v>
      </c>
      <c r="E210" t="s">
        <v>984</v>
      </c>
      <c r="F210" t="s">
        <v>985</v>
      </c>
      <c r="G210">
        <v>10530</v>
      </c>
      <c r="H210" t="s">
        <v>1072</v>
      </c>
      <c r="I210" t="str">
        <f t="shared" si="6"/>
        <v>2025.09.23</v>
      </c>
      <c r="J210">
        <f t="shared" si="7"/>
        <v>10889.348500517064</v>
      </c>
    </row>
    <row r="211" spans="1:10" x14ac:dyDescent="0.3">
      <c r="A211" t="s">
        <v>780</v>
      </c>
      <c r="B211" t="s">
        <v>597</v>
      </c>
      <c r="C211" t="s">
        <v>986</v>
      </c>
      <c r="E211" t="s">
        <v>987</v>
      </c>
      <c r="F211" t="s">
        <v>988</v>
      </c>
      <c r="G211">
        <v>10530</v>
      </c>
      <c r="H211" t="s">
        <v>1051</v>
      </c>
      <c r="I211" t="str">
        <f t="shared" si="6"/>
        <v>2025.09.26</v>
      </c>
      <c r="J211">
        <f t="shared" si="7"/>
        <v>10889.348500517064</v>
      </c>
    </row>
    <row r="212" spans="1:10" x14ac:dyDescent="0.3">
      <c r="A212" t="s">
        <v>780</v>
      </c>
      <c r="B212" t="s">
        <v>989</v>
      </c>
      <c r="C212" t="s">
        <v>990</v>
      </c>
      <c r="E212" t="s">
        <v>991</v>
      </c>
      <c r="F212" t="s">
        <v>992</v>
      </c>
      <c r="G212">
        <v>10530</v>
      </c>
      <c r="H212" t="s">
        <v>1072</v>
      </c>
      <c r="I212" t="str">
        <f t="shared" si="6"/>
        <v>2025.09.23</v>
      </c>
      <c r="J212">
        <f t="shared" si="7"/>
        <v>10889.348500517064</v>
      </c>
    </row>
    <row r="213" spans="1:10" x14ac:dyDescent="0.3">
      <c r="A213" t="s">
        <v>780</v>
      </c>
      <c r="B213" t="s">
        <v>993</v>
      </c>
      <c r="C213" t="s">
        <v>994</v>
      </c>
      <c r="E213" t="s">
        <v>995</v>
      </c>
      <c r="F213" t="s">
        <v>996</v>
      </c>
      <c r="G213">
        <v>10530</v>
      </c>
      <c r="H213" t="s">
        <v>1048</v>
      </c>
      <c r="I213" t="str">
        <f t="shared" si="6"/>
        <v>2025.09.24</v>
      </c>
      <c r="J213">
        <f t="shared" si="7"/>
        <v>10889.348500517064</v>
      </c>
    </row>
    <row r="214" spans="1:10" x14ac:dyDescent="0.3">
      <c r="A214" t="s">
        <v>998</v>
      </c>
      <c r="B214" t="s">
        <v>999</v>
      </c>
      <c r="C214" t="s">
        <v>1000</v>
      </c>
      <c r="D214" t="s">
        <v>1001</v>
      </c>
      <c r="E214" t="s">
        <v>1002</v>
      </c>
      <c r="F214" t="s">
        <v>1003</v>
      </c>
      <c r="G214">
        <v>10000</v>
      </c>
      <c r="H214" t="s">
        <v>1075</v>
      </c>
      <c r="I214" t="str">
        <f t="shared" si="6"/>
        <v>2025.09.03</v>
      </c>
      <c r="J214">
        <f t="shared" si="7"/>
        <v>10341.261633919339</v>
      </c>
    </row>
    <row r="215" spans="1:10" x14ac:dyDescent="0.3">
      <c r="A215" t="s">
        <v>998</v>
      </c>
      <c r="B215" t="s">
        <v>1004</v>
      </c>
      <c r="C215" t="s">
        <v>1005</v>
      </c>
      <c r="D215" t="s">
        <v>1006</v>
      </c>
      <c r="E215" t="s">
        <v>1007</v>
      </c>
      <c r="F215" t="s">
        <v>1008</v>
      </c>
      <c r="G215">
        <v>10000</v>
      </c>
      <c r="H215" t="s">
        <v>1070</v>
      </c>
      <c r="I215" t="str">
        <f t="shared" si="6"/>
        <v>2025.09.02</v>
      </c>
      <c r="J215">
        <f t="shared" si="7"/>
        <v>10341.261633919339</v>
      </c>
    </row>
    <row r="216" spans="1:10" x14ac:dyDescent="0.3">
      <c r="A216" t="s">
        <v>998</v>
      </c>
      <c r="B216" t="s">
        <v>1009</v>
      </c>
      <c r="C216" t="s">
        <v>1010</v>
      </c>
      <c r="D216" t="s">
        <v>1011</v>
      </c>
      <c r="E216" t="s">
        <v>1012</v>
      </c>
      <c r="F216" t="s">
        <v>1013</v>
      </c>
      <c r="G216">
        <v>10000</v>
      </c>
      <c r="H216" t="s">
        <v>1075</v>
      </c>
      <c r="I216" t="str">
        <f t="shared" si="6"/>
        <v>2025.09.03</v>
      </c>
      <c r="J216">
        <f t="shared" si="7"/>
        <v>10341.261633919339</v>
      </c>
    </row>
    <row r="217" spans="1:10" x14ac:dyDescent="0.3">
      <c r="A217" t="s">
        <v>998</v>
      </c>
      <c r="B217" t="s">
        <v>1016</v>
      </c>
      <c r="C217" t="s">
        <v>1017</v>
      </c>
      <c r="D217" t="s">
        <v>1018</v>
      </c>
      <c r="E217" t="s">
        <v>1019</v>
      </c>
      <c r="F217" t="s">
        <v>1020</v>
      </c>
      <c r="G217">
        <v>10000</v>
      </c>
      <c r="H217" t="s">
        <v>1070</v>
      </c>
      <c r="I217" t="str">
        <f t="shared" si="6"/>
        <v>2025.09.02</v>
      </c>
      <c r="J217">
        <f t="shared" si="7"/>
        <v>10341.261633919339</v>
      </c>
    </row>
    <row r="218" spans="1:10" x14ac:dyDescent="0.3">
      <c r="A218" t="s">
        <v>998</v>
      </c>
      <c r="B218" t="s">
        <v>1021</v>
      </c>
      <c r="C218" t="s">
        <v>1022</v>
      </c>
      <c r="D218" t="s">
        <v>1023</v>
      </c>
      <c r="E218" t="s">
        <v>1024</v>
      </c>
      <c r="F218" t="s">
        <v>1025</v>
      </c>
      <c r="G218">
        <v>10000</v>
      </c>
      <c r="H218" t="s">
        <v>1070</v>
      </c>
      <c r="I218" t="str">
        <f t="shared" si="6"/>
        <v>2025.09.02</v>
      </c>
      <c r="J218">
        <f t="shared" si="7"/>
        <v>10341.261633919339</v>
      </c>
    </row>
    <row r="219" spans="1:10" x14ac:dyDescent="0.3">
      <c r="A219" t="s">
        <v>998</v>
      </c>
      <c r="B219" t="s">
        <v>1026</v>
      </c>
      <c r="C219" t="s">
        <v>1027</v>
      </c>
      <c r="D219" t="s">
        <v>1028</v>
      </c>
      <c r="E219" t="s">
        <v>1029</v>
      </c>
      <c r="F219" t="s">
        <v>1030</v>
      </c>
      <c r="G219">
        <v>10000</v>
      </c>
      <c r="H219" t="s">
        <v>1070</v>
      </c>
      <c r="I219" t="str">
        <f t="shared" si="6"/>
        <v>2025.09.02</v>
      </c>
      <c r="J219">
        <f t="shared" si="7"/>
        <v>10341.261633919339</v>
      </c>
    </row>
    <row r="220" spans="1:10" x14ac:dyDescent="0.3">
      <c r="A220" t="s">
        <v>998</v>
      </c>
      <c r="B220" t="s">
        <v>109</v>
      </c>
      <c r="C220" t="s">
        <v>1031</v>
      </c>
      <c r="D220" t="s">
        <v>1032</v>
      </c>
      <c r="E220" t="s">
        <v>1033</v>
      </c>
      <c r="F220" t="s">
        <v>1034</v>
      </c>
      <c r="G220">
        <v>10000</v>
      </c>
      <c r="H220" t="s">
        <v>1070</v>
      </c>
      <c r="I220" t="str">
        <f t="shared" si="6"/>
        <v>2025.09.02</v>
      </c>
      <c r="J220">
        <f t="shared" si="7"/>
        <v>10341.261633919339</v>
      </c>
    </row>
    <row r="221" spans="1:10" x14ac:dyDescent="0.3">
      <c r="A221" t="s">
        <v>998</v>
      </c>
      <c r="B221" t="s">
        <v>1037</v>
      </c>
      <c r="C221" t="s">
        <v>1038</v>
      </c>
      <c r="D221" t="s">
        <v>1039</v>
      </c>
      <c r="E221" t="s">
        <v>1040</v>
      </c>
      <c r="F221" t="s">
        <v>1041</v>
      </c>
      <c r="G221">
        <v>10000</v>
      </c>
      <c r="H221" t="s">
        <v>1045</v>
      </c>
      <c r="I221" t="str">
        <f t="shared" si="6"/>
        <v>2025.09.06</v>
      </c>
      <c r="J221">
        <f t="shared" si="7"/>
        <v>10341.261633919339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workbookViewId="0">
      <selection activeCell="A8" sqref="A8:H9"/>
    </sheetView>
  </sheetViews>
  <sheetFormatPr defaultRowHeight="16.5" x14ac:dyDescent="0.3"/>
  <cols>
    <col min="1" max="1" width="19.5" customWidth="1"/>
    <col min="2" max="4" width="13" customWidth="1"/>
    <col min="5" max="5" width="37.25" customWidth="1"/>
    <col min="6" max="6" width="18.375" customWidth="1"/>
    <col min="7" max="7" width="9" customWidth="1"/>
    <col min="8" max="12" width="13" customWidth="1"/>
  </cols>
  <sheetData>
    <row r="1" spans="1:12" x14ac:dyDescent="0.3">
      <c r="A1">
        <v>4</v>
      </c>
      <c r="B1">
        <v>5</v>
      </c>
      <c r="C1">
        <v>6</v>
      </c>
      <c r="D1">
        <v>7</v>
      </c>
      <c r="E1">
        <v>8</v>
      </c>
      <c r="F1">
        <v>9</v>
      </c>
      <c r="G1">
        <v>10</v>
      </c>
      <c r="H1">
        <v>15</v>
      </c>
      <c r="I1">
        <v>16</v>
      </c>
      <c r="J1">
        <v>17</v>
      </c>
      <c r="K1">
        <v>18</v>
      </c>
      <c r="L1">
        <v>19</v>
      </c>
    </row>
    <row r="2" spans="1:12" s="6" customFormat="1" x14ac:dyDescent="0.3">
      <c r="A2" s="6" t="s">
        <v>38</v>
      </c>
      <c r="B2" s="6" t="s">
        <v>39</v>
      </c>
      <c r="E2" s="6" t="s">
        <v>40</v>
      </c>
      <c r="F2" s="6" t="s">
        <v>41</v>
      </c>
      <c r="G2" s="6">
        <v>1050000</v>
      </c>
      <c r="H2" s="6" t="s">
        <v>1048</v>
      </c>
    </row>
    <row r="3" spans="1:12" s="6" customFormat="1" x14ac:dyDescent="0.3">
      <c r="A3" s="6" t="s">
        <v>1076</v>
      </c>
      <c r="B3" s="6" t="s">
        <v>39</v>
      </c>
      <c r="C3" s="6" t="s">
        <v>777</v>
      </c>
      <c r="E3" s="6" t="s">
        <v>778</v>
      </c>
      <c r="F3" s="6" t="s">
        <v>779</v>
      </c>
      <c r="G3" s="6">
        <v>51060</v>
      </c>
      <c r="H3" s="6" t="s">
        <v>1049</v>
      </c>
    </row>
    <row r="4" spans="1:12" x14ac:dyDescent="0.3">
      <c r="A4" t="s">
        <v>44</v>
      </c>
      <c r="B4" t="s">
        <v>109</v>
      </c>
      <c r="C4" t="s">
        <v>110</v>
      </c>
      <c r="E4" t="s">
        <v>111</v>
      </c>
      <c r="F4" t="s">
        <v>112</v>
      </c>
      <c r="G4">
        <v>13920</v>
      </c>
      <c r="H4" t="s">
        <v>1051</v>
      </c>
    </row>
    <row r="5" spans="1:12" x14ac:dyDescent="0.3">
      <c r="A5" t="s">
        <v>998</v>
      </c>
      <c r="B5" t="s">
        <v>109</v>
      </c>
      <c r="C5" t="s">
        <v>1031</v>
      </c>
      <c r="D5" t="s">
        <v>1032</v>
      </c>
      <c r="E5" t="s">
        <v>1033</v>
      </c>
      <c r="F5" t="s">
        <v>1034</v>
      </c>
      <c r="G5">
        <v>10000</v>
      </c>
      <c r="H5" t="s">
        <v>1070</v>
      </c>
    </row>
    <row r="6" spans="1:12" x14ac:dyDescent="0.3">
      <c r="A6" t="s">
        <v>44</v>
      </c>
      <c r="B6" t="s">
        <v>236</v>
      </c>
      <c r="C6" t="s">
        <v>237</v>
      </c>
      <c r="E6" t="s">
        <v>238</v>
      </c>
      <c r="F6" t="s">
        <v>239</v>
      </c>
      <c r="G6">
        <v>13920</v>
      </c>
      <c r="H6" t="s">
        <v>1049</v>
      </c>
    </row>
    <row r="7" spans="1:12" x14ac:dyDescent="0.3">
      <c r="A7" t="s">
        <v>1078</v>
      </c>
      <c r="B7" t="s">
        <v>236</v>
      </c>
      <c r="C7" t="s">
        <v>911</v>
      </c>
      <c r="E7" t="s">
        <v>912</v>
      </c>
      <c r="F7" t="s">
        <v>913</v>
      </c>
      <c r="G7">
        <v>10530</v>
      </c>
      <c r="H7" t="s">
        <v>1066</v>
      </c>
    </row>
    <row r="8" spans="1:12" x14ac:dyDescent="0.3">
      <c r="A8" t="s">
        <v>1065</v>
      </c>
      <c r="B8" t="s">
        <v>367</v>
      </c>
      <c r="C8" t="s">
        <v>368</v>
      </c>
      <c r="D8" t="s">
        <v>369</v>
      </c>
      <c r="E8" t="s">
        <v>370</v>
      </c>
      <c r="F8" t="s">
        <v>371</v>
      </c>
      <c r="G8">
        <v>19950</v>
      </c>
      <c r="H8" t="s">
        <v>1066</v>
      </c>
    </row>
    <row r="9" spans="1:12" x14ac:dyDescent="0.3">
      <c r="A9" t="s">
        <v>1068</v>
      </c>
      <c r="B9" t="s">
        <v>367</v>
      </c>
      <c r="C9" t="s">
        <v>997</v>
      </c>
      <c r="E9" t="s">
        <v>398</v>
      </c>
      <c r="F9" t="s">
        <v>399</v>
      </c>
      <c r="G9">
        <v>24530</v>
      </c>
      <c r="H9" t="s">
        <v>1047</v>
      </c>
    </row>
    <row r="10" spans="1:12" x14ac:dyDescent="0.3">
      <c r="A10" t="s">
        <v>521</v>
      </c>
      <c r="B10" t="s">
        <v>597</v>
      </c>
      <c r="C10" t="s">
        <v>598</v>
      </c>
      <c r="D10" t="s">
        <v>599</v>
      </c>
      <c r="E10" t="s">
        <v>600</v>
      </c>
      <c r="F10" t="s">
        <v>601</v>
      </c>
      <c r="G10">
        <v>10020</v>
      </c>
      <c r="H10" t="s">
        <v>1075</v>
      </c>
    </row>
    <row r="11" spans="1:12" x14ac:dyDescent="0.3">
      <c r="A11" t="s">
        <v>780</v>
      </c>
      <c r="B11" t="s">
        <v>597</v>
      </c>
      <c r="C11" t="s">
        <v>986</v>
      </c>
      <c r="E11" t="s">
        <v>987</v>
      </c>
      <c r="F11" t="s">
        <v>988</v>
      </c>
      <c r="G11">
        <v>10530</v>
      </c>
      <c r="H11" t="s">
        <v>1051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772A-C916-45CC-AB1B-BD00225C0B8A}">
  <dimension ref="A1"/>
  <sheetViews>
    <sheetView workbookViewId="0">
      <selection activeCell="H14" sqref="H14"/>
    </sheetView>
  </sheetViews>
  <sheetFormatPr defaultRowHeight="16.5" x14ac:dyDescent="0.3"/>
  <cols>
    <col min="1" max="1" width="21.25" customWidth="1"/>
  </cols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25년3월데이터</vt:lpstr>
      <vt:lpstr>후처리</vt:lpstr>
      <vt:lpstr>동명이인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현빈 신</cp:lastModifiedBy>
  <dcterms:created xsi:type="dcterms:W3CDTF">2025-10-02T07:16:33Z</dcterms:created>
  <dcterms:modified xsi:type="dcterms:W3CDTF">2025-10-02T12:33:48Z</dcterms:modified>
</cp:coreProperties>
</file>